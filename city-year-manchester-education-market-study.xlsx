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2df81adae9149bf" /></Relationships>
</file>

<file path=xl/workbook.xml><?xml version="1.0" encoding="utf-8"?>
<x:workbook xmlns:x="http://schemas.openxmlformats.org/spreadsheetml/2006/main">
  <x:sheets>
    <x:sheet xmlns:r="http://schemas.openxmlformats.org/officeDocument/2006/relationships" name="Executive Summary" sheetId="1" r:id="Rc43b4d05ec514d0b"/>
    <x:sheet xmlns:r="http://schemas.openxmlformats.org/officeDocument/2006/relationships" name="2024 Benchmark" sheetId="2" r:id="Rabbd3e4fea04499e"/>
    <x:sheet xmlns:r="http://schemas.openxmlformats.org/officeDocument/2006/relationships" name="District Trends" sheetId="3" r:id="Rd01c5b04da5a4c53"/>
    <x:sheet xmlns:r="http://schemas.openxmlformats.org/officeDocument/2006/relationships" name="Equity Lens" sheetId="4" r:id="R702c96a86b1c4c19"/>
    <x:sheet xmlns:r="http://schemas.openxmlformats.org/officeDocument/2006/relationships" name="Recommendations" sheetId="5" r:id="Rbe079bdbd0b54dce"/>
    <x:sheet xmlns:r="http://schemas.openxmlformats.org/officeDocument/2006/relationships" name="Methodology" sheetId="6" r:id="R1d257c7dbaca4377"/>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quot; pp&quot;"/>
    <x:numFmt numFmtId="201" formatCode="0%"/>
    <x:numFmt numFmtId="202" formatCode="0.0"/>
  </x:numFmts>
  <x:fonts count="9">
    <x:font>
      <x:sz val="11"/>
      <x:name val="Carlito"/>
    </x:font>
    <x:font>
      <x:b/>
      <x:sz val="20"/>
      <x:color rgb="FFFFFFFF"/>
      <x:name val="Carlito"/>
    </x:font>
    <x:font>
      <x:i/>
      <x:sz val="11"/>
      <x:color rgb="FF111827"/>
      <x:name val="Carlito"/>
    </x:font>
    <x:font>
      <x:b/>
      <x:sz val="11"/>
      <x:color rgb="FFFFFFFF"/>
      <x:name val="Carlito"/>
    </x:font>
    <x:font>
      <x:b/>
      <x:sz val="20"/>
      <x:color rgb="FF111827"/>
      <x:name val="Carlito"/>
    </x:font>
    <x:font>
      <x:sz val="12"/>
      <x:color rgb="FF111827"/>
      <x:name val="Carlito"/>
    </x:font>
    <x:font>
      <x:sz val="11"/>
      <x:color rgb="FF5D6670"/>
      <x:name val="Carlito"/>
    </x:font>
    <x:font>
      <x:b/>
      <x:sz val="11"/>
      <x:color rgb="FF755300"/>
      <x:name val="Carlito"/>
    </x:font>
    <x:font>
      <x:b/>
      <x:sz val="11"/>
      <x:color rgb="FF8A1F2D"/>
      <x:name val="Carlito"/>
    </x:font>
  </x:fonts>
  <x:fills count="10">
    <x:fill>
      <x:patternFill patternType="none"/>
    </x:fill>
    <x:fill>
      <x:patternFill patternType="gray125"/>
    </x:fill>
    <x:fill>
      <x:patternFill patternType="solid">
        <x:fgColor rgb="FF111827"/>
      </x:patternFill>
    </x:fill>
    <x:fill>
      <x:patternFill patternType="solid">
        <x:fgColor rgb="FFFCE8EA"/>
      </x:patternFill>
    </x:fill>
    <x:fill>
      <x:patternFill patternType="solid">
        <x:fgColor rgb="FFC8202F"/>
      </x:patternFill>
    </x:fill>
    <x:fill>
      <x:patternFill patternType="solid">
        <x:fgColor rgb="FFFFFFFF"/>
      </x:patternFill>
    </x:fill>
    <x:fill>
      <x:patternFill patternType="solid">
        <x:fgColor rgb="FF2F6B9A"/>
      </x:patternFill>
    </x:fill>
    <x:fill>
      <x:patternFill patternType="solid">
        <x:fgColor rgb="FF168C95"/>
      </x:patternFill>
    </x:fill>
    <x:fill>
      <x:patternFill patternType="solid">
        <x:fgColor rgb="FFF3F6F8"/>
      </x:patternFill>
    </x:fill>
    <x:fill>
      <x:patternFill patternType="solid">
        <x:fgColor rgb="FFFFF4D6"/>
      </x:patternFill>
    </x:fill>
  </x:fills>
  <x:borders count="33">
    <x:border/>
    <x:border>
      <x:left style="thin">
        <x:color rgb="FFC8202F"/>
      </x:left>
      <x:top style="thin">
        <x:color rgb="FFC8202F"/>
      </x:top>
    </x:border>
    <x:border>
      <x:top style="thin">
        <x:color rgb="FFC8202F"/>
      </x:top>
    </x:border>
    <x:border>
      <x:right style="thin">
        <x:color rgb="FFC8202F"/>
      </x:right>
      <x:top style="thin">
        <x:color rgb="FFC8202F"/>
      </x:top>
    </x:border>
    <x:border>
      <x:left style="thin">
        <x:color rgb="FFC8202F"/>
      </x:left>
      <x:bottom style="thin">
        <x:color rgb="FFC8202F"/>
      </x:bottom>
    </x:border>
    <x:border>
      <x:bottom style="thin">
        <x:color rgb="FFC8202F"/>
      </x:bottom>
    </x:border>
    <x:border>
      <x:right style="thin">
        <x:color rgb="FFC8202F"/>
      </x:right>
      <x:bottom style="thin">
        <x:color rgb="FFC8202F"/>
      </x:bottom>
    </x:border>
    <x:border>
      <x:left style="thin">
        <x:color rgb="FF2F6B9A"/>
      </x:left>
      <x:top style="thin">
        <x:color rgb="FF2F6B9A"/>
      </x:top>
    </x:border>
    <x:border>
      <x:top style="thin">
        <x:color rgb="FF2F6B9A"/>
      </x:top>
    </x:border>
    <x:border>
      <x:right style="thin">
        <x:color rgb="FF2F6B9A"/>
      </x:right>
      <x:top style="thin">
        <x:color rgb="FF2F6B9A"/>
      </x:top>
    </x:border>
    <x:border>
      <x:left style="thin">
        <x:color rgb="FF2F6B9A"/>
      </x:left>
      <x:bottom style="thin">
        <x:color rgb="FF2F6B9A"/>
      </x:bottom>
    </x:border>
    <x:border>
      <x:bottom style="thin">
        <x:color rgb="FF2F6B9A"/>
      </x:bottom>
    </x:border>
    <x:border>
      <x:right style="thin">
        <x:color rgb="FF2F6B9A"/>
      </x:right>
      <x:bottom style="thin">
        <x:color rgb="FF2F6B9A"/>
      </x:bottom>
    </x:border>
    <x:border>
      <x:left style="thin">
        <x:color rgb="FF168C95"/>
      </x:left>
      <x:top style="thin">
        <x:color rgb="FF168C95"/>
      </x:top>
    </x:border>
    <x:border>
      <x:top style="thin">
        <x:color rgb="FF168C95"/>
      </x:top>
    </x:border>
    <x:border>
      <x:right style="thin">
        <x:color rgb="FF168C95"/>
      </x:right>
      <x:top style="thin">
        <x:color rgb="FF168C95"/>
      </x:top>
    </x:border>
    <x:border>
      <x:left style="thin">
        <x:color rgb="FF168C95"/>
      </x:left>
      <x:bottom style="thin">
        <x:color rgb="FF168C95"/>
      </x:bottom>
    </x:border>
    <x:border>
      <x:bottom style="thin">
        <x:color rgb="FF168C95"/>
      </x:bottom>
    </x:border>
    <x:border>
      <x:right style="thin">
        <x:color rgb="FF168C95"/>
      </x:right>
      <x:bottom style="thin">
        <x:color rgb="FF168C95"/>
      </x:bottom>
    </x:border>
    <x:border>
      <x:left style="thin">
        <x:color rgb="FF111827"/>
      </x:left>
      <x:top style="thin">
        <x:color rgb="FF111827"/>
      </x:top>
      <x:bottom style="thin">
        <x:color rgb="FF111827"/>
      </x:bottom>
    </x:border>
    <x:border>
      <x:top style="thin">
        <x:color rgb="FF111827"/>
      </x:top>
      <x:bottom style="thin">
        <x:color rgb="FF111827"/>
      </x:bottom>
    </x:border>
    <x:border>
      <x:right style="thin">
        <x:color rgb="FF111827"/>
      </x:right>
      <x:top style="thin">
        <x:color rgb="FF111827"/>
      </x:top>
      <x:bottom style="thin">
        <x:color rgb="FF111827"/>
      </x:bottom>
    </x:border>
    <x:border>
      <x:left style="thin">
        <x:color rgb="FF2F6B9A"/>
      </x:left>
    </x:border>
    <x:border>
      <x:right style="thin">
        <x:color rgb="FF2F6B9A"/>
      </x:right>
    </x:border>
    <x:border>
      <x:right style="thin">
        <x:color rgb="FFD7DEE5"/>
      </x:right>
      <x:bottom style="thin">
        <x:color rgb="FFD7DEE5"/>
      </x:bottom>
    </x:border>
    <x:border>
      <x:left style="thin">
        <x:color rgb="FFD7DEE5"/>
      </x:left>
      <x:right style="thin">
        <x:color rgb="FFD7DEE5"/>
      </x:right>
      <x:bottom style="thin">
        <x:color rgb="FFD7DEE5"/>
      </x:bottom>
    </x:border>
    <x:border>
      <x:left style="thin">
        <x:color rgb="FFD7DEE5"/>
      </x:left>
      <x:bottom style="thin">
        <x:color rgb="FFD7DEE5"/>
      </x:bottom>
    </x:border>
    <x:border>
      <x:right style="thin">
        <x:color rgb="FFD7DEE5"/>
      </x:right>
      <x:top style="thin">
        <x:color rgb="FFD7DEE5"/>
      </x:top>
      <x:bottom style="thin">
        <x:color rgb="FFD7DEE5"/>
      </x:bottom>
    </x:border>
    <x:border>
      <x:left style="thin">
        <x:color rgb="FFD7DEE5"/>
      </x:left>
      <x:right style="thin">
        <x:color rgb="FFD7DEE5"/>
      </x:right>
      <x:top style="thin">
        <x:color rgb="FFD7DEE5"/>
      </x:top>
      <x:bottom style="thin">
        <x:color rgb="FFD7DEE5"/>
      </x:bottom>
    </x:border>
    <x:border>
      <x:left style="thin">
        <x:color rgb="FFD7DEE5"/>
      </x:left>
      <x:top style="thin">
        <x:color rgb="FFD7DEE5"/>
      </x:top>
      <x:bottom style="thin">
        <x:color rgb="FFD7DEE5"/>
      </x:bottom>
    </x:border>
    <x:border>
      <x:right style="thin">
        <x:color rgb="FFD7DEE5"/>
      </x:right>
      <x:top style="thin">
        <x:color rgb="FFD7DEE5"/>
      </x:top>
    </x:border>
    <x:border>
      <x:left style="thin">
        <x:color rgb="FFD7DEE5"/>
      </x:left>
      <x:right style="thin">
        <x:color rgb="FFD7DEE5"/>
      </x:right>
      <x:top style="thin">
        <x:color rgb="FFD7DEE5"/>
      </x:top>
    </x:border>
    <x:border>
      <x:left style="thin">
        <x:color rgb="FFD7DEE5"/>
      </x:left>
      <x:top style="thin">
        <x:color rgb="FFD7DEE5"/>
      </x:top>
    </x:border>
  </x:borders>
  <x:cellStyleXfs count="1">
    <x:xf numFmtId="0" fontId="0" fillId="0" borderId="0"/>
  </x:cellStyleXfs>
  <x:cellXfs count="14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200" fontId="0" fillId="0" borderId="0" xfId="0" applyNumberFormat="1" applyFont="1" applyFill="1" applyBorder="1"/>
    <x:xf numFmtId="200" fontId="0" fillId="5" borderId="0" xfId="0" applyNumberFormat="1" applyFont="1" applyFill="1" applyBorder="1"/>
    <x:xf numFmtId="200" fontId="4" fillId="5" borderId="0" xfId="0" applyNumberFormat="1" applyFont="1" applyFill="1" applyBorder="1"/>
    <x:xf numFmtId="200" fontId="4" fillId="5" borderId="1" xfId="0" applyNumberFormat="1" applyFont="1" applyFill="1" applyBorder="1"/>
    <x:xf numFmtId="200" fontId="4" fillId="5" borderId="2" xfId="0" applyNumberFormat="1" applyFont="1" applyFill="1" applyBorder="1"/>
    <x:xf numFmtId="200" fontId="4" fillId="5" borderId="3" xfId="0" applyNumberFormat="1" applyFont="1" applyFill="1" applyBorder="1"/>
    <x:xf numFmtId="200" fontId="4" fillId="5" borderId="4" xfId="0" applyNumberFormat="1" applyFont="1" applyFill="1" applyBorder="1"/>
    <x:xf numFmtId="200" fontId="4" fillId="5" borderId="5" xfId="0" applyNumberFormat="1" applyFont="1" applyFill="1" applyBorder="1"/>
    <x:xf numFmtId="200" fontId="4" fillId="5" borderId="6" xfId="0" applyNumberFormat="1" applyFont="1" applyFill="1" applyBorder="1"/>
    <x:xf numFmtId="200" fontId="4" fillId="5" borderId="1" xfId="0" applyNumberFormat="1" applyFont="1" applyFill="1" applyBorder="1" applyAlignment="1">
      <x:alignment horizontal="center"/>
    </x:xf>
    <x:xf numFmtId="200" fontId="4" fillId="5" borderId="2" xfId="0" applyNumberFormat="1" applyFont="1" applyFill="1" applyBorder="1" applyAlignment="1">
      <x:alignment horizontal="center"/>
    </x:xf>
    <x:xf numFmtId="200" fontId="4" fillId="5" borderId="3" xfId="0" applyNumberFormat="1" applyFont="1" applyFill="1" applyBorder="1" applyAlignment="1">
      <x:alignment horizontal="center"/>
    </x:xf>
    <x:xf numFmtId="200" fontId="4" fillId="5" borderId="4" xfId="0" applyNumberFormat="1" applyFont="1" applyFill="1" applyBorder="1" applyAlignment="1">
      <x:alignment horizontal="center"/>
    </x:xf>
    <x:xf numFmtId="200" fontId="4" fillId="5" borderId="5" xfId="0" applyNumberFormat="1" applyFont="1" applyFill="1" applyBorder="1" applyAlignment="1">
      <x:alignment horizontal="center"/>
    </x:xf>
    <x:xf numFmtId="200" fontId="4" fillId="5" borderId="6" xfId="0" applyNumberFormat="1" applyFont="1" applyFill="1" applyBorder="1" applyAlignment="1">
      <x:alignment horizontal="center"/>
    </x:xf>
    <x:xf numFmtId="200" fontId="4" fillId="5" borderId="1" xfId="0" applyNumberFormat="1" applyFont="1" applyFill="1" applyBorder="1" applyAlignment="1">
      <x:alignment horizontal="center" vertical="center"/>
    </x:xf>
    <x:xf numFmtId="200" fontId="4" fillId="5" borderId="2" xfId="0" applyNumberFormat="1" applyFont="1" applyFill="1" applyBorder="1" applyAlignment="1">
      <x:alignment horizontal="center" vertical="center"/>
    </x:xf>
    <x:xf numFmtId="200" fontId="4" fillId="5" borderId="3" xfId="0" applyNumberFormat="1" applyFont="1" applyFill="1" applyBorder="1" applyAlignment="1">
      <x:alignment horizontal="center" vertical="center"/>
    </x:xf>
    <x:xf numFmtId="200" fontId="4" fillId="5" borderId="4" xfId="0" applyNumberFormat="1" applyFont="1" applyFill="1" applyBorder="1" applyAlignment="1">
      <x:alignment horizontal="center" vertical="center"/>
    </x:xf>
    <x:xf numFmtId="200" fontId="4" fillId="5" borderId="5" xfId="0" applyNumberFormat="1" applyFont="1" applyFill="1" applyBorder="1" applyAlignment="1">
      <x:alignment horizontal="center" vertical="center"/>
    </x:xf>
    <x:xf numFmtId="200" fontId="4" fillId="5" borderId="6" xfId="0" applyNumberFormat="1" applyFont="1" applyFill="1" applyBorder="1" applyAlignment="1">
      <x:alignment horizontal="center" vertical="center"/>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200" fontId="4" fillId="5" borderId="7" xfId="0" applyNumberFormat="1" applyFont="1" applyFill="1" applyBorder="1"/>
    <x:xf numFmtId="200" fontId="4" fillId="5" borderId="8" xfId="0" applyNumberFormat="1" applyFont="1" applyFill="1" applyBorder="1"/>
    <x:xf numFmtId="200" fontId="4" fillId="5" borderId="9" xfId="0" applyNumberFormat="1" applyFont="1" applyFill="1" applyBorder="1"/>
    <x:xf numFmtId="200" fontId="4" fillId="5" borderId="10" xfId="0" applyNumberFormat="1" applyFont="1" applyFill="1" applyBorder="1"/>
    <x:xf numFmtId="200" fontId="4" fillId="5" borderId="11" xfId="0" applyNumberFormat="1" applyFont="1" applyFill="1" applyBorder="1"/>
    <x:xf numFmtId="200" fontId="4" fillId="5" borderId="12" xfId="0" applyNumberFormat="1" applyFont="1" applyFill="1" applyBorder="1"/>
    <x:xf numFmtId="200" fontId="4" fillId="5" borderId="7" xfId="0" applyNumberFormat="1" applyFont="1" applyFill="1" applyBorder="1" applyAlignment="1">
      <x:alignment horizontal="center"/>
    </x:xf>
    <x:xf numFmtId="200" fontId="4" fillId="5" borderId="8" xfId="0" applyNumberFormat="1" applyFont="1" applyFill="1" applyBorder="1" applyAlignment="1">
      <x:alignment horizontal="center"/>
    </x:xf>
    <x:xf numFmtId="200" fontId="4" fillId="5" borderId="9" xfId="0" applyNumberFormat="1" applyFont="1" applyFill="1" applyBorder="1" applyAlignment="1">
      <x:alignment horizontal="center"/>
    </x:xf>
    <x:xf numFmtId="200" fontId="4" fillId="5" borderId="10" xfId="0" applyNumberFormat="1" applyFont="1" applyFill="1" applyBorder="1" applyAlignment="1">
      <x:alignment horizontal="center"/>
    </x:xf>
    <x:xf numFmtId="200" fontId="4" fillId="5" borderId="11" xfId="0" applyNumberFormat="1" applyFont="1" applyFill="1" applyBorder="1" applyAlignment="1">
      <x:alignment horizontal="center"/>
    </x:xf>
    <x:xf numFmtId="200" fontId="4" fillId="5" borderId="12" xfId="0" applyNumberFormat="1" applyFont="1" applyFill="1" applyBorder="1" applyAlignment="1">
      <x:alignment horizontal="center"/>
    </x:xf>
    <x:xf numFmtId="200" fontId="4" fillId="5" borderId="7" xfId="0" applyNumberFormat="1" applyFont="1" applyFill="1" applyBorder="1" applyAlignment="1">
      <x:alignment horizontal="center" vertical="center"/>
    </x:xf>
    <x:xf numFmtId="200" fontId="4" fillId="5" borderId="8" xfId="0" applyNumberFormat="1" applyFont="1" applyFill="1" applyBorder="1" applyAlignment="1">
      <x:alignment horizontal="center" vertical="center"/>
    </x:xf>
    <x:xf numFmtId="200" fontId="4" fillId="5" borderId="9" xfId="0" applyNumberFormat="1" applyFont="1" applyFill="1" applyBorder="1" applyAlignment="1">
      <x:alignment horizontal="center" vertical="center"/>
    </x:xf>
    <x:xf numFmtId="200" fontId="4" fillId="5" borderId="10" xfId="0" applyNumberFormat="1" applyFont="1" applyFill="1" applyBorder="1" applyAlignment="1">
      <x:alignment horizontal="center" vertical="center"/>
    </x:xf>
    <x:xf numFmtId="200" fontId="4" fillId="5" borderId="11" xfId="0" applyNumberFormat="1" applyFont="1" applyFill="1" applyBorder="1" applyAlignment="1">
      <x:alignment horizontal="center" vertical="center"/>
    </x:xf>
    <x:xf numFmtId="200" fontId="4" fillId="5" borderId="12" xfId="0" applyNumberFormat="1" applyFont="1" applyFill="1" applyBorder="1" applyAlignment="1">
      <x:alignment horizontal="center" vertical="center"/>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horizontal="center"/>
    </x:xf>
    <x:xf numFmtId="200" fontId="4" fillId="5" borderId="13" xfId="0" applyNumberFormat="1" applyFont="1" applyFill="1" applyBorder="1"/>
    <x:xf numFmtId="200" fontId="4" fillId="5" borderId="14" xfId="0" applyNumberFormat="1" applyFont="1" applyFill="1" applyBorder="1"/>
    <x:xf numFmtId="200" fontId="4" fillId="5" borderId="15" xfId="0" applyNumberFormat="1" applyFont="1" applyFill="1" applyBorder="1"/>
    <x:xf numFmtId="200" fontId="4" fillId="5" borderId="16" xfId="0" applyNumberFormat="1" applyFont="1" applyFill="1" applyBorder="1"/>
    <x:xf numFmtId="200" fontId="4" fillId="5" borderId="17" xfId="0" applyNumberFormat="1" applyFont="1" applyFill="1" applyBorder="1"/>
    <x:xf numFmtId="200" fontId="4" fillId="5" borderId="18" xfId="0" applyNumberFormat="1" applyFont="1" applyFill="1" applyBorder="1"/>
    <x:xf numFmtId="200" fontId="4" fillId="5" borderId="13" xfId="0" applyNumberFormat="1" applyFont="1" applyFill="1" applyBorder="1" applyAlignment="1">
      <x:alignment horizontal="center"/>
    </x:xf>
    <x:xf numFmtId="200" fontId="4" fillId="5" borderId="14" xfId="0" applyNumberFormat="1" applyFont="1" applyFill="1" applyBorder="1" applyAlignment="1">
      <x:alignment horizontal="center"/>
    </x:xf>
    <x:xf numFmtId="200" fontId="4" fillId="5" borderId="15" xfId="0" applyNumberFormat="1" applyFont="1" applyFill="1" applyBorder="1" applyAlignment="1">
      <x:alignment horizontal="center"/>
    </x:xf>
    <x:xf numFmtId="200" fontId="4" fillId="5" borderId="16" xfId="0" applyNumberFormat="1" applyFont="1" applyFill="1" applyBorder="1" applyAlignment="1">
      <x:alignment horizontal="center"/>
    </x:xf>
    <x:xf numFmtId="200" fontId="4" fillId="5" borderId="17" xfId="0" applyNumberFormat="1" applyFont="1" applyFill="1" applyBorder="1" applyAlignment="1">
      <x:alignment horizontal="center"/>
    </x:xf>
    <x:xf numFmtId="200" fontId="4" fillId="5" borderId="18" xfId="0" applyNumberFormat="1" applyFont="1" applyFill="1" applyBorder="1" applyAlignment="1">
      <x:alignment horizontal="center"/>
    </x:xf>
    <x:xf numFmtId="200" fontId="4" fillId="5" borderId="13" xfId="0" applyNumberFormat="1" applyFont="1" applyFill="1" applyBorder="1" applyAlignment="1">
      <x:alignment horizontal="center" vertical="center"/>
    </x:xf>
    <x:xf numFmtId="200" fontId="4" fillId="5" borderId="14" xfId="0" applyNumberFormat="1" applyFont="1" applyFill="1" applyBorder="1" applyAlignment="1">
      <x:alignment horizontal="center" vertical="center"/>
    </x:xf>
    <x:xf numFmtId="200" fontId="4" fillId="5" borderId="15" xfId="0" applyNumberFormat="1" applyFont="1" applyFill="1" applyBorder="1" applyAlignment="1">
      <x:alignment horizontal="center" vertical="center"/>
    </x:xf>
    <x:xf numFmtId="200" fontId="4" fillId="5" borderId="16" xfId="0" applyNumberFormat="1" applyFont="1" applyFill="1" applyBorder="1" applyAlignment="1">
      <x:alignment horizontal="center" vertical="center"/>
    </x:xf>
    <x:xf numFmtId="200" fontId="4" fillId="5" borderId="17" xfId="0" applyNumberFormat="1" applyFont="1" applyFill="1" applyBorder="1" applyAlignment="1">
      <x:alignment horizontal="center" vertical="center"/>
    </x:xf>
    <x:xf numFmtId="200" fontId="4" fillId="5" borderId="18" xfId="0" applyNumberFormat="1" applyFont="1" applyFill="1" applyBorder="1" applyAlignment="1">
      <x:alignment horizontal="center" vertical="center"/>
    </x:xf>
    <x:xf numFmtId="0" fontId="3" fillId="4" borderId="19" xfId="0" applyNumberFormat="1" applyFont="1" applyFill="1" applyBorder="1"/>
    <x:xf numFmtId="0" fontId="3" fillId="4" borderId="20" xfId="0" applyNumberFormat="1" applyFont="1" applyFill="1" applyBorder="1"/>
    <x:xf numFmtId="0" fontId="3" fillId="4" borderId="21" xfId="0" applyNumberFormat="1" applyFont="1" applyFill="1" applyBorder="1"/>
    <x:xf numFmtId="0" fontId="0" fillId="8" borderId="0" xfId="0" applyNumberFormat="1" applyFont="1" applyFill="1" applyBorder="1"/>
    <x:xf numFmtId="0" fontId="5" fillId="8" borderId="0" xfId="0" applyNumberFormat="1" applyFont="1" applyFill="1" applyBorder="1"/>
    <x:xf numFmtId="0" fontId="5" fillId="8" borderId="7" xfId="0" applyNumberFormat="1" applyFont="1" applyFill="1" applyBorder="1"/>
    <x:xf numFmtId="0" fontId="5" fillId="8" borderId="8" xfId="0" applyNumberFormat="1" applyFont="1" applyFill="1" applyBorder="1"/>
    <x:xf numFmtId="0" fontId="5" fillId="8" borderId="9" xfId="0" applyNumberFormat="1" applyFont="1" applyFill="1" applyBorder="1"/>
    <x:xf numFmtId="0" fontId="5" fillId="8" borderId="22" xfId="0" applyNumberFormat="1" applyFont="1" applyFill="1" applyBorder="1"/>
    <x:xf numFmtId="0" fontId="5" fillId="8" borderId="23" xfId="0" applyNumberFormat="1" applyFont="1" applyFill="1" applyBorder="1"/>
    <x:xf numFmtId="0" fontId="5" fillId="8" borderId="10" xfId="0" applyNumberFormat="1" applyFont="1" applyFill="1" applyBorder="1"/>
    <x:xf numFmtId="0" fontId="5" fillId="8" borderId="11" xfId="0" applyNumberFormat="1" applyFont="1" applyFill="1" applyBorder="1"/>
    <x:xf numFmtId="0" fontId="5" fillId="8" borderId="12" xfId="0" applyNumberFormat="1" applyFont="1" applyFill="1" applyBorder="1"/>
    <x:xf numFmtId="0" fontId="5" fillId="8" borderId="7" xfId="0" applyNumberFormat="1" applyFont="1" applyFill="1" applyBorder="1" applyAlignment="1">
      <x:alignment wrapText="1"/>
    </x:xf>
    <x:xf numFmtId="0" fontId="5" fillId="8" borderId="8" xfId="0" applyNumberFormat="1" applyFont="1" applyFill="1" applyBorder="1" applyAlignment="1">
      <x:alignment wrapText="1"/>
    </x:xf>
    <x:xf numFmtId="0" fontId="5" fillId="8" borderId="9" xfId="0" applyNumberFormat="1" applyFont="1" applyFill="1" applyBorder="1" applyAlignment="1">
      <x:alignment wrapText="1"/>
    </x:xf>
    <x:xf numFmtId="0" fontId="5" fillId="8" borderId="22" xfId="0" applyNumberFormat="1" applyFont="1" applyFill="1" applyBorder="1" applyAlignment="1">
      <x:alignment wrapText="1"/>
    </x:xf>
    <x:xf numFmtId="0" fontId="5" fillId="8" borderId="0" xfId="0" applyNumberFormat="1" applyFont="1" applyFill="1" applyBorder="1" applyAlignment="1">
      <x:alignment wrapText="1"/>
    </x:xf>
    <x:xf numFmtId="0" fontId="5" fillId="8" borderId="23" xfId="0" applyNumberFormat="1" applyFont="1" applyFill="1" applyBorder="1" applyAlignment="1">
      <x:alignment wrapText="1"/>
    </x:xf>
    <x:xf numFmtId="0" fontId="5" fillId="8" borderId="10" xfId="0" applyNumberFormat="1" applyFont="1" applyFill="1" applyBorder="1" applyAlignment="1">
      <x:alignment wrapText="1"/>
    </x:xf>
    <x:xf numFmtId="0" fontId="5" fillId="8" borderId="11" xfId="0" applyNumberFormat="1" applyFont="1" applyFill="1" applyBorder="1" applyAlignment="1">
      <x:alignment wrapText="1"/>
    </x:xf>
    <x:xf numFmtId="0" fontId="5" fillId="8" borderId="12" xfId="0" applyNumberFormat="1" applyFont="1" applyFill="1" applyBorder="1" applyAlignment="1">
      <x:alignment wrapText="1"/>
    </x:xf>
    <x:xf numFmtId="0" fontId="5" fillId="8" borderId="7" xfId="0" applyNumberFormat="1" applyFont="1" applyFill="1" applyBorder="1" applyAlignment="1">
      <x:alignment vertical="center" wrapText="1"/>
    </x:xf>
    <x:xf numFmtId="0" fontId="5" fillId="8" borderId="8" xfId="0" applyNumberFormat="1" applyFont="1" applyFill="1" applyBorder="1" applyAlignment="1">
      <x:alignment vertical="center" wrapText="1"/>
    </x:xf>
    <x:xf numFmtId="0" fontId="5" fillId="8" borderId="9" xfId="0" applyNumberFormat="1" applyFont="1" applyFill="1" applyBorder="1" applyAlignment="1">
      <x:alignment vertical="center" wrapText="1"/>
    </x:xf>
    <x:xf numFmtId="0" fontId="5" fillId="8" borderId="22" xfId="0" applyNumberFormat="1" applyFont="1" applyFill="1" applyBorder="1" applyAlignment="1">
      <x:alignment vertical="center" wrapText="1"/>
    </x:xf>
    <x:xf numFmtId="0" fontId="5" fillId="8" borderId="0" xfId="0" applyNumberFormat="1" applyFont="1" applyFill="1" applyBorder="1" applyAlignment="1">
      <x:alignment vertical="center" wrapText="1"/>
    </x:xf>
    <x:xf numFmtId="0" fontId="5" fillId="8" borderId="23" xfId="0" applyNumberFormat="1" applyFont="1" applyFill="1" applyBorder="1" applyAlignment="1">
      <x:alignment vertical="center" wrapText="1"/>
    </x:xf>
    <x:xf numFmtId="0" fontId="5" fillId="8" borderId="10" xfId="0" applyNumberFormat="1" applyFont="1" applyFill="1" applyBorder="1" applyAlignment="1">
      <x:alignment vertical="center" wrapText="1"/>
    </x:xf>
    <x:xf numFmtId="0" fontId="5" fillId="8" borderId="11" xfId="0" applyNumberFormat="1" applyFont="1" applyFill="1" applyBorder="1" applyAlignment="1">
      <x:alignment vertical="center" wrapText="1"/>
    </x:xf>
    <x:xf numFmtId="0" fontId="5" fillId="8" borderId="12" xfId="0" applyNumberFormat="1" applyFont="1" applyFill="1" applyBorder="1" applyAlignment="1">
      <x:alignment vertical="center" wrapText="1"/>
    </x:xf>
    <x:xf numFmtId="0" fontId="6" fillId="8" borderId="0" xfId="0" applyNumberFormat="1" applyFont="1" applyFill="1" applyBorder="1"/>
    <x:xf numFmtId="0" fontId="6" fillId="8" borderId="0" xfId="0" applyNumberFormat="1" applyFont="1" applyFill="1" applyBorder="1" applyAlignment="1">
      <x:alignment wrapText="1"/>
    </x:xf>
    <x:xf numFmtId="0" fontId="6" fillId="8" borderId="0" xfId="0" applyNumberFormat="1" applyFont="1" applyFill="1" applyBorder="1" applyAlignment="1">
      <x:alignment vertical="top" wrapText="1"/>
    </x:xf>
    <x:xf numFmtId="0" fontId="0" fillId="9" borderId="0" xfId="0" applyNumberFormat="1" applyFont="1" applyFill="1" applyBorder="1"/>
    <x:xf numFmtId="0" fontId="7" fillId="9" borderId="0" xfId="0" applyNumberFormat="1" applyFont="1" applyFill="1" applyBorder="1"/>
    <x:xf numFmtId="0" fontId="7" fillId="9" borderId="0" xfId="0" applyNumberFormat="1" applyFont="1" applyFill="1" applyBorder="1" applyAlignment="1">
      <x:alignment wrapText="1"/>
    </x:xf>
    <x:xf numFmtId="0" fontId="7" fillId="9" borderId="0" xfId="0" applyNumberFormat="1" applyFont="1" applyFill="1" applyBorder="1" applyAlignment="1">
      <x:alignment vertical="center" wrapText="1"/>
    </x:xf>
    <x:xf numFmtId="201" fontId="0" fillId="0" borderId="0" xfId="0" applyNumberFormat="1" applyFont="1" applyFill="1" applyBorder="1"/>
    <x:xf numFmtId="0" fontId="6" fillId="8" borderId="0" xfId="0" applyNumberFormat="1" applyFont="1" applyFill="1" applyBorder="1" applyAlignment="1">
      <x:alignment vertical="center" wrapText="1"/>
    </x:xf>
    <x:xf numFmtId="202" fontId="0" fillId="0" borderId="0" xfId="0" applyNumberFormat="1" applyFont="1" applyFill="1" applyBorder="1"/>
    <x:xf numFmtId="0" fontId="0" fillId="0" borderId="24" xfId="0" applyNumberFormat="1" applyFont="1" applyFill="1" applyBorder="1"/>
    <x:xf numFmtId="0" fontId="0" fillId="0" borderId="25" xfId="0" applyNumberFormat="1" applyFont="1" applyFill="1" applyBorder="1"/>
    <x:xf numFmtId="0" fontId="0" fillId="0" borderId="26" xfId="0" applyNumberFormat="1" applyFont="1" applyFill="1" applyBorder="1"/>
    <x:xf numFmtId="0" fontId="0" fillId="0" borderId="27" xfId="0" applyNumberFormat="1" applyFont="1" applyFill="1" applyBorder="1"/>
    <x:xf numFmtId="0" fontId="0" fillId="0" borderId="28" xfId="0" applyNumberFormat="1" applyFont="1" applyFill="1" applyBorder="1"/>
    <x:xf numFmtId="0" fontId="0" fillId="0" borderId="29" xfId="0" applyNumberFormat="1" applyFont="1" applyFill="1" applyBorder="1"/>
    <x:xf numFmtId="0" fontId="0" fillId="0" borderId="30" xfId="0" applyNumberFormat="1" applyFont="1" applyFill="1" applyBorder="1"/>
    <x:xf numFmtId="0" fontId="0" fillId="0" borderId="31" xfId="0" applyNumberFormat="1" applyFont="1" applyFill="1" applyBorder="1"/>
    <x:xf numFmtId="0" fontId="0" fillId="0" borderId="32" xfId="0" applyNumberFormat="1" applyFont="1" applyFill="1" applyBorder="1"/>
    <x:xf numFmtId="0" fontId="0" fillId="0" borderId="24" xfId="0" applyNumberFormat="1" applyFont="1" applyFill="1" applyBorder="1" applyAlignment="1">
      <x:alignment wrapText="1"/>
    </x:xf>
    <x:xf numFmtId="0" fontId="0" fillId="0" borderId="25" xfId="0" applyNumberFormat="1" applyFont="1" applyFill="1" applyBorder="1" applyAlignment="1">
      <x:alignment wrapText="1"/>
    </x:xf>
    <x:xf numFmtId="0" fontId="0" fillId="0" borderId="26" xfId="0" applyNumberFormat="1" applyFont="1" applyFill="1" applyBorder="1" applyAlignment="1">
      <x:alignment wrapText="1"/>
    </x:xf>
    <x:xf numFmtId="0" fontId="0" fillId="0" borderId="27" xfId="0" applyNumberFormat="1" applyFont="1" applyFill="1" applyBorder="1" applyAlignment="1">
      <x:alignment wrapText="1"/>
    </x:xf>
    <x:xf numFmtId="0" fontId="0" fillId="0" borderId="28" xfId="0" applyNumberFormat="1" applyFont="1" applyFill="1" applyBorder="1" applyAlignment="1">
      <x:alignment wrapText="1"/>
    </x:xf>
    <x:xf numFmtId="0" fontId="0" fillId="0" borderId="29" xfId="0" applyNumberFormat="1" applyFont="1" applyFill="1" applyBorder="1" applyAlignment="1">
      <x:alignment wrapText="1"/>
    </x:xf>
    <x:xf numFmtId="0" fontId="0" fillId="0" borderId="30" xfId="0" applyNumberFormat="1" applyFont="1" applyFill="1" applyBorder="1" applyAlignment="1">
      <x:alignment wrapText="1"/>
    </x:xf>
    <x:xf numFmtId="0" fontId="0" fillId="0" borderId="31" xfId="0" applyNumberFormat="1" applyFont="1" applyFill="1" applyBorder="1" applyAlignment="1">
      <x:alignment wrapText="1"/>
    </x:xf>
    <x:xf numFmtId="0" fontId="0" fillId="0" borderId="32" xfId="0" applyNumberFormat="1" applyFont="1" applyFill="1" applyBorder="1" applyAlignment="1">
      <x:alignment wrapText="1"/>
    </x:xf>
    <x:xf numFmtId="0" fontId="0" fillId="0" borderId="24"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0" fontId="0" fillId="0" borderId="26"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0" fontId="0" fillId="0" borderId="28" xfId="0" applyNumberFormat="1" applyFont="1" applyFill="1" applyBorder="1" applyAlignment="1">
      <x:alignment vertical="top" wrapText="1"/>
    </x:xf>
    <x:xf numFmtId="0" fontId="0" fillId="0" borderId="29" xfId="0" applyNumberFormat="1" applyFont="1" applyFill="1" applyBorder="1" applyAlignment="1">
      <x:alignment vertical="top" wrapText="1"/>
    </x:xf>
    <x:xf numFmtId="0" fontId="0" fillId="0" borderId="30" xfId="0" applyNumberFormat="1" applyFont="1" applyFill="1" applyBorder="1" applyAlignment="1">
      <x:alignment vertical="top" wrapText="1"/>
    </x:xf>
    <x:xf numFmtId="0" fontId="0" fillId="0" borderId="31" xfId="0" applyNumberFormat="1" applyFont="1" applyFill="1" applyBorder="1" applyAlignment="1">
      <x:alignment vertical="top" wrapText="1"/>
    </x:xf>
    <x:xf numFmtId="0" fontId="0" fillId="0" borderId="32" xfId="0" applyNumberFormat="1" applyFont="1" applyFill="1" applyBorder="1" applyAlignment="1">
      <x:alignment vertical="top" wrapText="1"/>
    </x:xf>
    <x:xf numFmtId="0" fontId="8" fillId="3" borderId="0" xfId="0" applyNumberFormat="1" applyFont="1" applyFill="1" applyBorder="1"/>
    <x:xf numFmtId="0" fontId="8" fillId="3" borderId="0" xfId="0" applyNumberFormat="1" applyFont="1" applyFill="1" applyBorder="1" applyAlignment="1">
      <x:alignment wrapText="1"/>
    </x:xf>
    <x:xf numFmtId="0" fontId="8" fillId="3" borderId="0" xfId="0" applyNumberFormat="1" applyFont="1" applyFill="1" applyBorder="1" applyAlignment="1">
      <x:alignment vertical="center" wrapText="1"/>
    </x:xf>
    <x:xf numFmtId="0" fontId="3" fillId="4" borderId="19" xfId="0" applyNumberFormat="1" applyFont="1" applyFill="1" applyBorder="1" applyAlignment="1">
      <x:alignment wrapText="1"/>
    </x:xf>
    <x:xf numFmtId="0" fontId="3" fillId="4" borderId="21" xfId="0" applyNumberFormat="1" applyFont="1" applyFill="1" applyBorder="1" applyAlignment="1">
      <x:alignment wrapText="1"/>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88b580339e3407a" /><Relationship Type="http://schemas.openxmlformats.org/officeDocument/2006/relationships/theme" Target="/xl/theme/theme1.xml" Id="R0af29fd7186e4d2e" /><Relationship Type="http://schemas.openxmlformats.org/officeDocument/2006/relationships/sharedStrings" Target="/xl/sharedStrings.xml" Id="Re842b4e7a076446c" /><Relationship Type="http://schemas.openxmlformats.org/officeDocument/2006/relationships/worksheet" Target="/xl/worksheets/sheet1.xml" Id="Rc43b4d05ec514d0b" /><Relationship Type="http://schemas.openxmlformats.org/officeDocument/2006/relationships/worksheet" Target="/xl/worksheets/sheet2.xml" Id="Rabbd3e4fea04499e" /><Relationship Type="http://schemas.openxmlformats.org/officeDocument/2006/relationships/worksheet" Target="/xl/worksheets/sheet3.xml" Id="Rd01c5b04da5a4c53" /><Relationship Type="http://schemas.openxmlformats.org/officeDocument/2006/relationships/worksheet" Target="/xl/worksheets/sheet4.xml" Id="R702c96a86b1c4c19" /><Relationship Type="http://schemas.openxmlformats.org/officeDocument/2006/relationships/worksheet" Target="/xl/worksheets/sheet5.xml" Id="Rbe079bdbd0b54dce" /><Relationship Type="http://schemas.openxmlformats.org/officeDocument/2006/relationships/worksheet" Target="/xl/worksheets/sheet6.xml" Id="R1d257c7dbaca4377" /></Relationships>
</file>

<file path=xl/drawings/_rels/drawing1.xml.rels>&#65279;<?xml version="1.0" encoding="utf-8"?><Relationships xmlns="http://schemas.openxmlformats.org/package/2006/relationships"><Relationship Type="http://schemas.openxmlformats.org/officeDocument/2006/relationships/chart" Target="/xl/drawings/charts/chart1.xml" Id="R06f7dc3c4b4e463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Manchester proficiency remains below the state benchmark</a:t>
            </a:r>
          </a:p>
        </c:rich>
      </c:tx>
      <c:overlay val="0"/>
    </c:title>
    <c:plotArea>
      <c:barChart>
        <c:barDir val="col"/>
        <c:varyColors val="0"/>
        <c:ser>
          <c:idx val="0"/>
          <c:order val="0"/>
          <c:tx>
            <c:v>Manchester</c:v>
          </c:tx>
          <c:cat>
            <c:strRef>
              <c:f>'2024 Benchmark'!$A$11:$A$13</c:f>
              <c:strCache>
                <c:ptCount val="0"/>
              </c:strCache>
            </c:strRef>
          </c:cat>
          <c:val>
            <c:numRef>
              <c:f>'2024 Benchmark'!$B$11:$B$13</c:f>
              <c:numCache>
                <c:formatCode>0%</c:formatCode>
                <c:ptCount val="0"/>
              </c:numCache>
            </c:numRef>
          </c:val>
        </c:ser>
        <c:ser>
          <c:idx val="1"/>
          <c:order val="1"/>
          <c:tx>
            <c:v>New Hampshire</c:v>
          </c:tx>
          <c:cat>
            <c:strRef>
              <c:f>'2024 Benchmark'!$A$11:$A$13</c:f>
              <c:strCache>
                <c:ptCount val="0"/>
              </c:strCache>
            </c:strRef>
          </c:cat>
          <c:val>
            <c:numRef>
              <c:f>'2024 Benchmark'!$C$11:$C$13</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max val="0.8"/>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4</xdr:row>
      <xdr:rowOff>0</xdr:rowOff>
    </xdr:from>
    <xdr:to>
      <xdr:col>13</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6f7dc3c4b4e4634"/>
        </a:graphicData>
      </a:graphic>
    </xdr:graphicFrame>
    <xdr:clientData/>
  </xdr:twoCellAnchor>
</xdr:wsDr>
</file>

<file path=xl/tables/table1.xml><?xml version="1.0" encoding="utf-8"?>
<x:table xmlns:x="http://schemas.openxmlformats.org/spreadsheetml/2006/main" id="1" name="DistrictTrendTable" displayName="DistrictTrendTable" ref="A5:G77" headerRowCount="1" totalsRowCount="0" totalsRowShown="0">
  <x:tableColumns count="7">
    <x:tableColumn id="1" name="Year"/>
    <x:tableColumn id="2" name="District"/>
    <x:tableColumn id="3" name="Subject"/>
    <x:tableColumn id="4" name="FAY Students (reported range)"/>
    <x:tableColumn id="5" name="Proficiency %"/>
    <x:tableColumn id="6" name="Participation %"/>
    <x:tableColumn id="7" name="Median Growth Percentile"/>
  </x:tableColumns>
  <x:tableStyleInfo name="TableStyleMedium2" showFirstColumn="0" showLastColumn="0" showRowStripes="1" showColumnStripes="0"/>
</x:table>
</file>

<file path=xl/tables/table2.xml><?xml version="1.0" encoding="utf-8"?>
<x:table xmlns:x="http://schemas.openxmlformats.org/spreadsheetml/2006/main" id="2" name="EquityTable" displayName="EquityTable" ref="A5:G71" headerRowCount="1" totalsRowCount="0" totalsRowShown="0">
  <x:tableColumns count="7">
    <x:tableColumn id="1" name="Geography"/>
    <x:tableColumn id="2" name="Subject"/>
    <x:tableColumn id="3" name="Subgroup"/>
    <x:tableColumn id="4" name="FAY Students (reported range)"/>
    <x:tableColumn id="5" name="Proficiency (reported)"/>
    <x:tableColumn id="6" name="Participation (reported)"/>
    <x:tableColumn id="7" name="Growth (report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b1505c8679d24dcd" /></Relationships>
</file>

<file path=xl/worksheets/_rels/sheet3.xml.rels>&#65279;<?xml version="1.0" encoding="utf-8"?><Relationships xmlns="http://schemas.openxmlformats.org/package/2006/relationships"><Relationship Type="http://schemas.openxmlformats.org/officeDocument/2006/relationships/table" Target="/xl/tables/table1.xml" Id="Rabdfe6eba7f349fe" /></Relationships>
</file>

<file path=xl/worksheets/_rels/sheet4.xml.rels>&#65279;<?xml version="1.0" encoding="utf-8"?><Relationships xmlns="http://schemas.openxmlformats.org/package/2006/relationships"><Relationship Type="http://schemas.openxmlformats.org/officeDocument/2006/relationships/table" Target="/xl/tables/table2.xml" Id="Rdb67a3835a2347b8" /></Relationships>
</file>

<file path=xl/worksheets/sheet1.xml><?xml version="1.0" encoding="utf-8"?>
<x:worksheet xmlns:x="http://schemas.openxmlformats.org/spreadsheetml/2006/main">
  <x:sheetViews>
    <x:sheetView showGridLines="0" workbookViewId="0"/>
  </x:sheetViews>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s>
  <x:sheetData>
    <x:row r="1">
      <x:c r="A1" s="3" t="str">
        <x:v>City Year Manchester Education Market Study</x:v>
      </x:c>
      <x:c r="B1" s="3"/>
      <x:c r="C1" s="3"/>
      <x:c r="D1" s="3"/>
      <x:c r="E1" s="3"/>
      <x:c r="F1" s="3"/>
      <x:c r="G1" s="3"/>
      <x:c r="H1" s="3"/>
      <x:c r="I1" s="3"/>
      <x:c r="J1" s="3"/>
      <x:c r="K1" s="3"/>
    </x:row>
    <x:row r="2">
      <x:c r="A2" s="3"/>
      <x:c r="B2" s="3"/>
      <x:c r="C2" s="3"/>
      <x:c r="D2" s="3"/>
      <x:c r="E2" s="3"/>
      <x:c r="F2" s="3"/>
      <x:c r="G2" s="3"/>
      <x:c r="H2" s="3"/>
      <x:c r="I2" s="3"/>
      <x:c r="J2" s="3"/>
      <x:c r="K2" s="3"/>
    </x:row>
    <x:row r="3">
      <x:c r="A3" s="6" t="str">
        <x:v>A collaborative capstone using 239,110 public New Hampshire assessment records to identify recovery patterns, persistent proficiency gaps, and support priorities.</x:v>
      </x:c>
      <x:c r="B3" s="6"/>
      <x:c r="C3" s="6"/>
      <x:c r="D3" s="6"/>
      <x:c r="E3" s="6"/>
      <x:c r="F3" s="6"/>
      <x:c r="G3" s="6"/>
      <x:c r="H3" s="6"/>
      <x:c r="I3" s="6"/>
      <x:c r="J3" s="6"/>
      <x:c r="K3" s="6"/>
    </x:row>
    <x:row r="5">
      <x:c r="A5" s="9" t="str">
        <x:v>2024 math gap vs. NH</x:v>
      </x:c>
      <x:c r="B5" s="9"/>
      <x:c r="C5" s="9"/>
      <x:c r="E5" s="33" t="str">
        <x:v>2024 reading gap vs. NH</x:v>
      </x:c>
      <x:c r="F5" s="33"/>
      <x:c r="G5" s="33"/>
      <x:c r="I5" s="54" t="str">
        <x:v>2024 science gap vs. NH</x:v>
      </x:c>
      <x:c r="J5" s="54"/>
      <x:c r="K5" s="54"/>
    </x:row>
    <x:row r="6">
      <x:c r="A6" s="25" t="n">
        <x:f>'2024 Benchmark'!D6</x:f>
        <x:v>-21.999999999999996</x:v>
      </x:c>
      <x:c r="B6" s="26"/>
      <x:c r="C6" s="27"/>
      <x:c r="E6" s="46" t="n">
        <x:f>'2024 Benchmark'!D7</x:f>
        <x:v>-24.000000000000004</x:v>
      </x:c>
      <x:c r="F6" s="47"/>
      <x:c r="G6" s="48"/>
      <x:c r="I6" s="67" t="n">
        <x:f>'2024 Benchmark'!D8</x:f>
        <x:v>-21</x:v>
      </x:c>
      <x:c r="J6" s="68"/>
      <x:c r="K6" s="69"/>
    </x:row>
    <x:row r="7">
      <x:c r="A7" s="28"/>
      <x:c r="B7" s="29"/>
      <x:c r="C7" s="30"/>
      <x:c r="E7" s="49"/>
      <x:c r="F7" s="50"/>
      <x:c r="G7" s="51"/>
      <x:c r="I7" s="70"/>
      <x:c r="J7" s="71"/>
      <x:c r="K7" s="72"/>
    </x:row>
    <x:row r="9">
      <x:c r="A9" s="73" t="str">
        <x:v>Executive finding</x:v>
      </x:c>
      <x:c r="B9" s="74"/>
      <x:c r="C9" s="74"/>
      <x:c r="D9" s="74"/>
      <x:c r="E9" s="74"/>
      <x:c r="F9" s="74"/>
      <x:c r="G9" s="74"/>
      <x:c r="H9" s="74"/>
      <x:c r="I9" s="74"/>
      <x:c r="J9" s="74"/>
      <x:c r="K9" s="75"/>
    </x:row>
    <x:row r="10">
      <x:c r="A10" s="95" t="str">
        <x:v>Manchester showed modest recovery from 2022 to 2024—mathematics proficiency increased 3 percentage points and reading increased 1 point—but the district remained 21–24 points below statewide proficiency across mathematics, reading, and science in 2024. The evidence supports sustained, targeted academic and attendance interventions, especially for historically underserved groups.</x:v>
      </x:c>
      <x:c r="B10" s="96"/>
      <x:c r="C10" s="96"/>
      <x:c r="D10" s="96"/>
      <x:c r="E10" s="96"/>
      <x:c r="F10" s="96"/>
      <x:c r="G10" s="96"/>
      <x:c r="H10" s="96"/>
      <x:c r="I10" s="96"/>
      <x:c r="J10" s="96"/>
      <x:c r="K10" s="97"/>
    </x:row>
    <x:row r="11">
      <x:c r="A11" s="98"/>
      <x:c r="B11" s="99"/>
      <x:c r="C11" s="99"/>
      <x:c r="D11" s="99"/>
      <x:c r="E11" s="99"/>
      <x:c r="F11" s="99"/>
      <x:c r="G11" s="99"/>
      <x:c r="H11" s="99"/>
      <x:c r="I11" s="99"/>
      <x:c r="J11" s="99"/>
      <x:c r="K11" s="100"/>
    </x:row>
    <x:row r="12">
      <x:c r="A12" s="98"/>
      <x:c r="B12" s="99"/>
      <x:c r="C12" s="99"/>
      <x:c r="D12" s="99"/>
      <x:c r="E12" s="99"/>
      <x:c r="F12" s="99"/>
      <x:c r="G12" s="99"/>
      <x:c r="H12" s="99"/>
      <x:c r="I12" s="99"/>
      <x:c r="J12" s="99"/>
      <x:c r="K12" s="100"/>
    </x:row>
    <x:row r="13">
      <x:c r="A13" s="98"/>
      <x:c r="B13" s="99"/>
      <x:c r="C13" s="99"/>
      <x:c r="D13" s="99"/>
      <x:c r="E13" s="99"/>
      <x:c r="F13" s="99"/>
      <x:c r="G13" s="99"/>
      <x:c r="H13" s="99"/>
      <x:c r="I13" s="99"/>
      <x:c r="J13" s="99"/>
      <x:c r="K13" s="100"/>
    </x:row>
    <x:row r="14">
      <x:c r="A14" s="101"/>
      <x:c r="B14" s="102"/>
      <x:c r="C14" s="102"/>
      <x:c r="D14" s="102"/>
      <x:c r="E14" s="102"/>
      <x:c r="F14" s="102"/>
      <x:c r="G14" s="102"/>
      <x:c r="H14" s="102"/>
      <x:c r="I14" s="102"/>
      <x:c r="J14" s="102"/>
      <x:c r="K14" s="103"/>
    </x:row>
    <x:row r="16">
      <x:c r="A16" s="73" t="str">
        <x:v>What the evidence supports</x:v>
      </x:c>
      <x:c r="B16" s="74"/>
      <x:c r="C16" s="74"/>
      <x:c r="D16" s="74"/>
      <x:c r="E16" s="74"/>
      <x:c r="F16" s="75"/>
      <x:c r="H16" s="73" t="str">
        <x:v>Project contribution</x:v>
      </x:c>
      <x:c r="I16" s="74"/>
      <x:c r="J16" s="74"/>
      <x:c r="K16" s="75"/>
    </x:row>
    <x:row r="17">
      <x:c r="A17" s="106" t="str">
        <x:v>• Prioritize math and literacy supports where proficiency remains furthest from the state benchmark.
• Use participation, growth, and attendance alongside proficiency when monitoring progress.
• Preserve suppressed values such as “&lt;10%” rather than inventing exact numbers.
• Combine district trends with school context before allocating people or funding.
• Treat demographic differences as signals for equitable support—not deficit labels.</x:v>
      </x:c>
      <x:c r="B17" s="106"/>
      <x:c r="C17" s="106"/>
      <x:c r="D17" s="106"/>
      <x:c r="E17" s="106"/>
      <x:c r="F17" s="106"/>
      <x:c r="H17" s="106" t="str">
        <x:v>Collaborative City Year NH capstone. Md Mukidur Rahman contributed across research design, public-data collection, dataset compilation, analysis, visualization, recommendations, and presentation. The original deck omitted his name from its title slide; this portfolio version corrects the attribution while preserving team credit.</x:v>
      </x:c>
      <x:c r="I17" s="106"/>
      <x:c r="J17" s="106"/>
      <x:c r="K17" s="106"/>
    </x:row>
    <x:row r="18">
      <x:c r="A18" s="106"/>
      <x:c r="B18" s="106"/>
      <x:c r="C18" s="106"/>
      <x:c r="D18" s="106"/>
      <x:c r="E18" s="106"/>
      <x:c r="F18" s="106"/>
      <x:c r="H18" s="106"/>
      <x:c r="I18" s="106"/>
      <x:c r="J18" s="106"/>
      <x:c r="K18" s="106"/>
    </x:row>
    <x:row r="19">
      <x:c r="A19" s="106"/>
      <x:c r="B19" s="106"/>
      <x:c r="C19" s="106"/>
      <x:c r="D19" s="106"/>
      <x:c r="E19" s="106"/>
      <x:c r="F19" s="106"/>
      <x:c r="H19" s="106"/>
      <x:c r="I19" s="106"/>
      <x:c r="J19" s="106"/>
      <x:c r="K19" s="106"/>
    </x:row>
    <x:row r="20">
      <x:c r="A20" s="106"/>
      <x:c r="B20" s="106"/>
      <x:c r="C20" s="106"/>
      <x:c r="D20" s="106"/>
      <x:c r="E20" s="106"/>
      <x:c r="F20" s="106"/>
      <x:c r="H20" s="106"/>
      <x:c r="I20" s="106"/>
      <x:c r="J20" s="106"/>
      <x:c r="K20" s="106"/>
    </x:row>
    <x:row r="21">
      <x:c r="A21" s="106"/>
      <x:c r="B21" s="106"/>
      <x:c r="C21" s="106"/>
      <x:c r="D21" s="106"/>
      <x:c r="E21" s="106"/>
      <x:c r="F21" s="106"/>
      <x:c r="H21" s="106"/>
      <x:c r="I21" s="106"/>
      <x:c r="J21" s="106"/>
      <x:c r="K21" s="106"/>
    </x:row>
    <x:row r="22">
      <x:c r="A22" s="106"/>
      <x:c r="B22" s="106"/>
      <x:c r="C22" s="106"/>
      <x:c r="D22" s="106"/>
      <x:c r="E22" s="106"/>
      <x:c r="F22" s="106"/>
      <x:c r="H22" s="106"/>
      <x:c r="I22" s="106"/>
      <x:c r="J22" s="106"/>
      <x:c r="K22" s="106"/>
    </x:row>
    <x:row r="23">
      <x:c r="A23" s="106"/>
      <x:c r="B23" s="106"/>
      <x:c r="C23" s="106"/>
      <x:c r="D23" s="106"/>
      <x:c r="E23" s="106"/>
      <x:c r="F23" s="106"/>
      <x:c r="H23" s="106"/>
      <x:c r="I23" s="106"/>
      <x:c r="J23" s="106"/>
      <x:c r="K23" s="106"/>
    </x:row>
    <x:row r="24">
      <x:c r="A24" s="106"/>
      <x:c r="B24" s="106"/>
      <x:c r="C24" s="106"/>
      <x:c r="D24" s="106"/>
      <x:c r="E24" s="106"/>
      <x:c r="F24" s="106"/>
      <x:c r="H24" s="106"/>
      <x:c r="I24" s="106"/>
      <x:c r="J24" s="106"/>
      <x:c r="K24" s="106"/>
    </x:row>
    <x:row r="26">
      <x:c r="A26" s="110" t="str">
        <x:v>Interpretation boundary: proficiency and growth are descriptive outcomes. They do not, by themselves, establish why differences exist or prove the effect of any program. Recommendations require stakeholder context and implementation evaluation.</x:v>
      </x:c>
      <x:c r="B26" s="110"/>
      <x:c r="C26" s="110"/>
      <x:c r="D26" s="110"/>
      <x:c r="E26" s="110"/>
      <x:c r="F26" s="110"/>
      <x:c r="G26" s="110"/>
      <x:c r="H26" s="110"/>
      <x:c r="I26" s="110"/>
      <x:c r="J26" s="110"/>
      <x:c r="K26" s="110"/>
    </x:row>
    <x:row r="27">
      <x:c r="A27" s="110"/>
      <x:c r="B27" s="110"/>
      <x:c r="C27" s="110"/>
      <x:c r="D27" s="110"/>
      <x:c r="E27" s="110"/>
      <x:c r="F27" s="110"/>
      <x:c r="G27" s="110"/>
      <x:c r="H27" s="110"/>
      <x:c r="I27" s="110"/>
      <x:c r="J27" s="110"/>
      <x:c r="K27" s="110"/>
    </x:row>
    <x:row r="28">
      <x:c r="A28" s="110"/>
      <x:c r="B28" s="110"/>
      <x:c r="C28" s="110"/>
      <x:c r="D28" s="110"/>
      <x:c r="E28" s="110"/>
      <x:c r="F28" s="110"/>
      <x:c r="G28" s="110"/>
      <x:c r="H28" s="110"/>
      <x:c r="I28" s="110"/>
      <x:c r="J28" s="110"/>
      <x:c r="K28" s="110"/>
    </x:row>
  </x:sheetData>
  <x:mergeCells>
    <x:mergeCell ref="A1:K2"/>
    <x:mergeCell ref="A3:K3"/>
    <x:mergeCell ref="A5:C5"/>
    <x:mergeCell ref="A6:C7"/>
    <x:mergeCell ref="E5:G5"/>
    <x:mergeCell ref="E6:G7"/>
    <x:mergeCell ref="I5:K5"/>
    <x:mergeCell ref="I6:K7"/>
    <x:mergeCell ref="A9:K9"/>
    <x:mergeCell ref="A10:K14"/>
    <x:mergeCell ref="A16:F16"/>
    <x:mergeCell ref="A17:F24"/>
    <x:mergeCell ref="H16:K16"/>
    <x:mergeCell ref="H17:K24"/>
    <x:mergeCell ref="A26:K28"/>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3" max="3" width="22" hidden="0" customWidth="1"/>
    <x:col min="4" max="4" width="22" hidden="0" customWidth="1"/>
  </x:cols>
  <x:sheetData>
    <x:row r="1">
      <x:c r="A1" s="3" t="str">
        <x:v>2024 Manchester Benchmark</x:v>
      </x:c>
      <x:c r="B1" s="3"/>
      <x:c r="C1" s="3"/>
      <x:c r="D1" s="3"/>
      <x:c r="E1" s="3"/>
      <x:c r="F1" s="3"/>
      <x:c r="G1" s="3"/>
      <x:c r="H1" s="3"/>
    </x:row>
    <x:row r="2">
      <x:c r="A2" s="3"/>
      <x:c r="B2" s="3"/>
      <x:c r="C2" s="3"/>
      <x:c r="D2" s="3"/>
      <x:c r="E2" s="3"/>
      <x:c r="F2" s="3"/>
      <x:c r="G2" s="3"/>
      <x:c r="H2" s="3"/>
    </x:row>
    <x:row r="3">
      <x:c r="A3" s="6" t="str">
        <x:v>District-level all-student proficiency compared with the New Hampshire statewide benchmark.</x:v>
      </x:c>
      <x:c r="B3" s="6"/>
      <x:c r="C3" s="6"/>
      <x:c r="D3" s="6"/>
      <x:c r="E3" s="6"/>
      <x:c r="F3" s="6"/>
      <x:c r="G3" s="6"/>
      <x:c r="H3" s="6"/>
    </x:row>
    <x:row r="5">
      <x:c r="A5" s="73" t="str">
        <x:v>Subject</x:v>
      </x:c>
      <x:c r="B5" s="74" t="str">
        <x:v>Manchester</x:v>
      </x:c>
      <x:c r="C5" s="74" t="str">
        <x:v>New Hampshire</x:v>
      </x:c>
      <x:c r="D5" s="75" t="str">
        <x:v>Gap (percentage points)</x:v>
      </x:c>
    </x:row>
    <x:row r="6">
      <x:c r="A6" t="str">
        <x:v>Mathematics</x:v>
      </x:c>
      <x:c r="B6" s="111" t="n">
        <x:v>0.19</x:v>
      </x:c>
      <x:c r="C6" s="111" t="n">
        <x:v>0.41</x:v>
      </x:c>
      <x:c r="D6" s="10" t="n">
        <x:f>(B6-C6)*100</x:f>
        <x:v>-21.999999999999996</x:v>
      </x:c>
    </x:row>
    <x:row r="7">
      <x:c r="A7" t="str">
        <x:v>Reading</x:v>
      </x:c>
      <x:c r="B7" s="111" t="n">
        <x:v>0.29</x:v>
      </x:c>
      <x:c r="C7" s="111" t="n">
        <x:v>0.53</x:v>
      </x:c>
      <x:c r="D7" s="10" t="n">
        <x:f>(B7-C7)*100</x:f>
        <x:v>-24.000000000000004</x:v>
      </x:c>
    </x:row>
    <x:row r="8">
      <x:c r="A8" t="str">
        <x:v>Science</x:v>
      </x:c>
      <x:c r="B8" s="111" t="n">
        <x:v>0.15</x:v>
      </x:c>
      <x:c r="C8" s="111" t="n">
        <x:v>0.36</x:v>
      </x:c>
      <x:c r="D8" s="10" t="n">
        <x:f>(B8-C8)*100</x:f>
        <x:v>-21</x:v>
      </x:c>
    </x:row>
    <x:row r="10">
      <x:c r="A10" s="73" t="str">
        <x:v>Subject</x:v>
      </x:c>
      <x:c r="B10" s="74" t="str">
        <x:v>Manchester</x:v>
      </x:c>
      <x:c r="C10" s="75" t="str">
        <x:v>New Hampshire</x:v>
      </x:c>
    </x:row>
    <x:row r="11">
      <x:c r="A11" t="str">
        <x:f>A6</x:f>
        <x:v>Mathematics</x:v>
      </x:c>
      <x:c r="B11" s="111" t="n">
        <x:f>B6</x:f>
        <x:v>0.19</x:v>
      </x:c>
      <x:c r="C11" s="111" t="n">
        <x:f>C6</x:f>
        <x:v>0.41</x:v>
      </x:c>
    </x:row>
    <x:row r="12">
      <x:c r="A12" t="str">
        <x:f>A7</x:f>
        <x:v>Reading</x:v>
      </x:c>
      <x:c r="B12" s="111" t="n">
        <x:f>B7</x:f>
        <x:v>0.29</x:v>
      </x:c>
      <x:c r="C12" s="111" t="n">
        <x:f>C7</x:f>
        <x:v>0.53</x:v>
      </x:c>
    </x:row>
    <x:row r="13">
      <x:c r="A13" t="str">
        <x:f>A8</x:f>
        <x:v>Science</x:v>
      </x:c>
      <x:c r="B13" s="111" t="n">
        <x:f>B8</x:f>
        <x:v>0.15</x:v>
      </x:c>
      <x:c r="C13" s="111" t="n">
        <x:f>C8</x:f>
        <x:v>0.36</x:v>
      </x:c>
    </x:row>
    <x:row r="15">
      <x:c r="A15" s="73" t="str">
        <x:v>Subject</x:v>
      </x:c>
      <x:c r="B15" s="74" t="str">
        <x:v>2022</x:v>
      </x:c>
      <x:c r="C15" s="74" t="str">
        <x:v>2024</x:v>
      </x:c>
      <x:c r="D15" s="75" t="str">
        <x:v>Change</x:v>
      </x:c>
    </x:row>
    <x:row r="16">
      <x:c r="A16" t="str">
        <x:v>Mathematics</x:v>
      </x:c>
      <x:c r="B16" s="111" t="n">
        <x:v>0.16</x:v>
      </x:c>
      <x:c r="C16" s="111" t="n">
        <x:v>0.19</x:v>
      </x:c>
      <x:c r="D16" s="10" t="n">
        <x:f>(C16-B16)*100</x:f>
        <x:v>3</x:v>
      </x:c>
    </x:row>
    <x:row r="17">
      <x:c r="A17" t="str">
        <x:v>Reading</x:v>
      </x:c>
      <x:c r="B17" s="111" t="n">
        <x:v>0.28</x:v>
      </x:c>
      <x:c r="C17" s="111" t="n">
        <x:v>0.29</x:v>
      </x:c>
      <x:c r="D17" s="10" t="n">
        <x:f>(C17-B17)*100</x:f>
        <x:v>0.9999999999999953</x:v>
      </x:c>
    </x:row>
    <x:row r="18">
      <x:c r="A18" t="str">
        <x:v>Science</x:v>
      </x:c>
      <x:c r="B18" s="111" t="n">
        <x:v>0.16</x:v>
      </x:c>
      <x:c r="C18" s="111" t="n">
        <x:v>0.15</x:v>
      </x:c>
      <x:c r="D18" s="10" t="n">
        <x:f>(C18-B18)*100</x:f>
        <x:v>-1.0000000000000009</x:v>
      </x:c>
    </x:row>
    <x:row r="20">
      <x:c r="A20" s="112" t="str">
        <x:v>Recovery was uneven: mathematics improved from 16% to 19%, reading moved from 28% to 29%, and science declined from 16% to 15%. These changes should be monitored alongside participation and median growth percentiles.</x:v>
      </x:c>
      <x:c r="B20" s="112"/>
      <x:c r="C20" s="112"/>
      <x:c r="D20" s="112"/>
      <x:c r="E20" s="112"/>
      <x:c r="F20" s="112"/>
      <x:c r="G20" s="112"/>
      <x:c r="H20" s="112"/>
    </x:row>
    <x:row r="21">
      <x:c r="A21" s="112"/>
      <x:c r="B21" s="112"/>
      <x:c r="C21" s="112"/>
      <x:c r="D21" s="112"/>
      <x:c r="E21" s="112"/>
      <x:c r="F21" s="112"/>
      <x:c r="G21" s="112"/>
      <x:c r="H21" s="112"/>
    </x:row>
    <x:row r="22">
      <x:c r="A22" s="112"/>
      <x:c r="B22" s="112"/>
      <x:c r="C22" s="112"/>
      <x:c r="D22" s="112"/>
      <x:c r="E22" s="112"/>
      <x:c r="F22" s="112"/>
      <x:c r="G22" s="112"/>
      <x:c r="H22" s="112"/>
    </x:row>
  </x:sheetData>
  <x:mergeCells>
    <x:mergeCell ref="A1:H2"/>
    <x:mergeCell ref="A3:H3"/>
    <x:mergeCell ref="A20:H22"/>
  </x:mergeCells>
  <x:pageMargins left="0.7" right="0.7" top="0.75" bottom="0.75" header="0.3" footer="0.3"/>
  <x:drawing xmlns:r="http://schemas.openxmlformats.org/officeDocument/2006/relationships" r:id="Rb1505c8679d24dcd"/>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20" hidden="0" customWidth="1"/>
    <x:col min="3" max="3" width="20" hidden="0" customWidth="1"/>
    <x:col min="4" max="4" width="28" hidden="0" customWidth="1"/>
    <x:col min="5" max="5" width="20" hidden="0" customWidth="1"/>
    <x:col min="6" max="6" width="20" hidden="0" customWidth="1"/>
    <x:col min="7" max="7" width="20" hidden="0" customWidth="1"/>
  </x:cols>
  <x:sheetData>
    <x:row r="1">
      <x:c r="A1" s="3" t="str">
        <x:v>District Trends — Source Extract</x:v>
      </x:c>
      <x:c r="B1" s="3"/>
      <x:c r="C1" s="3"/>
      <x:c r="D1" s="3"/>
      <x:c r="E1" s="3"/>
      <x:c r="F1" s="3"/>
      <x:c r="G1" s="3"/>
    </x:row>
    <x:row r="2">
      <x:c r="A2" s="3"/>
      <x:c r="B2" s="3"/>
      <x:c r="C2" s="3"/>
      <x:c r="D2" s="3"/>
      <x:c r="E2" s="3"/>
      <x:c r="F2" s="3"/>
      <x:c r="G2" s="3"/>
    </x:row>
    <x:row r="3">
      <x:c r="A3" s="6" t="str">
        <x:v>All-student, all-grade district and statewide results. Reported FAY student counts remain as NH DOE ranges.</x:v>
      </x:c>
      <x:c r="B3" s="6"/>
      <x:c r="C3" s="6"/>
      <x:c r="D3" s="6"/>
      <x:c r="E3" s="6"/>
      <x:c r="F3" s="6"/>
      <x:c r="G3" s="6"/>
    </x:row>
    <x:row r="5">
      <x:c r="A5" s="73" t="str">
        <x:v>Year</x:v>
      </x:c>
      <x:c r="B5" s="74" t="str">
        <x:v>District</x:v>
      </x:c>
      <x:c r="C5" s="74" t="str">
        <x:v>Subject</x:v>
      </x:c>
      <x:c r="D5" s="74" t="str">
        <x:v>FAY Students (reported range)</x:v>
      </x:c>
      <x:c r="E5" s="74" t="str">
        <x:v>Proficiency %</x:v>
      </x:c>
      <x:c r="F5" s="74" t="str">
        <x:v>Participation %</x:v>
      </x:c>
      <x:c r="G5" s="75" t="str">
        <x:v>Median Growth Percentile</x:v>
      </x:c>
    </x:row>
    <x:row r="6">
      <x:c r="A6" t="n">
        <x:v>2022</x:v>
      </x:c>
      <x:c r="B6" t="str">
        <x:v>Londonderry</x:v>
      </x:c>
      <x:c r="C6" t="str">
        <x:v>Mathematics</x:v>
      </x:c>
      <x:c r="D6" t="str">
        <x:v>1,940 - 1,945</x:v>
      </x:c>
      <x:c r="E6" s="113" t="n">
        <x:v>45</x:v>
      </x:c>
      <x:c r="F6" s="113" t="n">
        <x:v>89</x:v>
      </x:c>
      <x:c r="G6" s="113" t="n">
        <x:v>47</x:v>
      </x:c>
    </x:row>
    <x:row r="7">
      <x:c r="A7" t="n">
        <x:v>2022</x:v>
      </x:c>
      <x:c r="B7" t="str">
        <x:v>Londonderry</x:v>
      </x:c>
      <x:c r="C7" t="str">
        <x:v>Reading</x:v>
      </x:c>
      <x:c r="D7" t="str">
        <x:v>1,935 - 1,940</x:v>
      </x:c>
      <x:c r="E7" s="113" t="n">
        <x:v>56</x:v>
      </x:c>
      <x:c r="F7" s="113" t="n">
        <x:v>89</x:v>
      </x:c>
      <x:c r="G7" s="113" t="n">
        <x:v>47</x:v>
      </x:c>
    </x:row>
    <x:row r="8">
      <x:c r="A8" t="n">
        <x:v>2022</x:v>
      </x:c>
      <x:c r="B8" t="str">
        <x:v>Londonderry</x:v>
      </x:c>
      <x:c r="C8" t="str">
        <x:v>Science</x:v>
      </x:c>
      <x:c r="D8" t="str">
        <x:v>880 - 885</x:v>
      </x:c>
      <x:c r="E8" s="113" t="n">
        <x:v>31</x:v>
      </x:c>
      <x:c r="F8" s="113" t="n">
        <x:v>87</x:v>
      </x:c>
      <x:c r="G8" s="113"/>
    </x:row>
    <x:row r="9">
      <x:c r="A9" t="n">
        <x:v>2022</x:v>
      </x:c>
      <x:c r="B9" t="str">
        <x:v>Portsmouth</x:v>
      </x:c>
      <x:c r="C9" t="str">
        <x:v>Mathematics</x:v>
      </x:c>
      <x:c r="D9" t="str">
        <x:v>1,135 - 1,140</x:v>
      </x:c>
      <x:c r="E9" s="113" t="n">
        <x:v>64</x:v>
      </x:c>
      <x:c r="F9" s="113" t="n">
        <x:v>94</x:v>
      </x:c>
      <x:c r="G9" s="113" t="n">
        <x:v>52</x:v>
      </x:c>
    </x:row>
    <x:row r="10">
      <x:c r="A10" t="n">
        <x:v>2022</x:v>
      </x:c>
      <x:c r="B10" t="str">
        <x:v>Portsmouth</x:v>
      </x:c>
      <x:c r="C10" t="str">
        <x:v>Reading</x:v>
      </x:c>
      <x:c r="D10" t="str">
        <x:v>1,125 - 1,130</x:v>
      </x:c>
      <x:c r="E10" s="113" t="n">
        <x:v>76</x:v>
      </x:c>
      <x:c r="F10" s="113" t="n">
        <x:v>94</x:v>
      </x:c>
      <x:c r="G10" s="113" t="n">
        <x:v>57</x:v>
      </x:c>
    </x:row>
    <x:row r="11">
      <x:c r="A11" t="n">
        <x:v>2022</x:v>
      </x:c>
      <x:c r="B11" t="str">
        <x:v>Portsmouth</x:v>
      </x:c>
      <x:c r="C11" t="str">
        <x:v>Science</x:v>
      </x:c>
      <x:c r="D11" t="str">
        <x:v>520 - 525</x:v>
      </x:c>
      <x:c r="E11" s="113" t="n">
        <x:v>46</x:v>
      </x:c>
      <x:c r="F11" s="113" t="n">
        <x:v>88</x:v>
      </x:c>
      <x:c r="G11" s="113"/>
    </x:row>
    <x:row r="12">
      <x:c r="A12" t="n">
        <x:v>2022</x:v>
      </x:c>
      <x:c r="B12" t="str">
        <x:v>Bedford</x:v>
      </x:c>
      <x:c r="C12" t="str">
        <x:v>Mathematics</x:v>
      </x:c>
      <x:c r="D12" t="str">
        <x:v>2,220 - 2,225</x:v>
      </x:c>
      <x:c r="E12" s="113" t="n">
        <x:v>73</x:v>
      </x:c>
      <x:c r="F12" s="113" t="n">
        <x:v>97</x:v>
      </x:c>
      <x:c r="G12" s="113" t="n">
        <x:v>55</x:v>
      </x:c>
    </x:row>
    <x:row r="13">
      <x:c r="A13" t="n">
        <x:v>2022</x:v>
      </x:c>
      <x:c r="B13" t="str">
        <x:v>Bedford</x:v>
      </x:c>
      <x:c r="C13" t="str">
        <x:v>Reading</x:v>
      </x:c>
      <x:c r="D13" t="str">
        <x:v>2,210 - 2,215</x:v>
      </x:c>
      <x:c r="E13" s="113" t="n">
        <x:v>77</x:v>
      </x:c>
      <x:c r="F13" s="113" t="n">
        <x:v>96</x:v>
      </x:c>
      <x:c r="G13" s="113" t="n">
        <x:v>54</x:v>
      </x:c>
    </x:row>
    <x:row r="14">
      <x:c r="A14" t="n">
        <x:v>2022</x:v>
      </x:c>
      <x:c r="B14" t="str">
        <x:v>Bedford</x:v>
      </x:c>
      <x:c r="C14" t="str">
        <x:v>Science</x:v>
      </x:c>
      <x:c r="D14" t="str">
        <x:v>935 - 940</x:v>
      </x:c>
      <x:c r="E14" s="113" t="n">
        <x:v>56</x:v>
      </x:c>
      <x:c r="F14" s="113" t="n">
        <x:v>92</x:v>
      </x:c>
      <x:c r="G14" s="113"/>
    </x:row>
    <x:row r="15">
      <x:c r="A15" t="n">
        <x:v>2022</x:v>
      </x:c>
      <x:c r="B15" t="str">
        <x:v>Rochester</x:v>
      </x:c>
      <x:c r="C15" t="str">
        <x:v>Science</x:v>
      </x:c>
      <x:c r="D15" t="str">
        <x:v>670 - 675</x:v>
      </x:c>
      <x:c r="E15" s="113" t="n">
        <x:v>23</x:v>
      </x:c>
      <x:c r="F15" s="113" t="n">
        <x:v>83</x:v>
      </x:c>
      <x:c r="G15" s="113"/>
    </x:row>
    <x:row r="16">
      <x:c r="A16" t="n">
        <x:v>2022</x:v>
      </x:c>
      <x:c r="B16" t="str">
        <x:v>Concord</x:v>
      </x:c>
      <x:c r="C16" t="str">
        <x:v>Reading</x:v>
      </x:c>
      <x:c r="D16" t="str">
        <x:v>1,905 - 1,910</x:v>
      </x:c>
      <x:c r="E16" s="113" t="n">
        <x:v>43</x:v>
      </x:c>
      <x:c r="F16" s="113" t="n">
        <x:v>96</x:v>
      </x:c>
      <x:c r="G16" s="113" t="n">
        <x:v>47</x:v>
      </x:c>
    </x:row>
    <x:row r="17">
      <x:c r="A17" t="n">
        <x:v>2022</x:v>
      </x:c>
      <x:c r="B17" t="str">
        <x:v>Concord</x:v>
      </x:c>
      <x:c r="C17" t="str">
        <x:v>Science</x:v>
      </x:c>
      <x:c r="D17" t="str">
        <x:v>835 - 840</x:v>
      </x:c>
      <x:c r="E17" s="113" t="n">
        <x:v>29</x:v>
      </x:c>
      <x:c r="F17" s="113" t="n">
        <x:v>90</x:v>
      </x:c>
      <x:c r="G17" s="113"/>
    </x:row>
    <x:row r="18">
      <x:c r="A18" t="n">
        <x:v>2022</x:v>
      </x:c>
      <x:c r="B18" t="str">
        <x:v>Rochester</x:v>
      </x:c>
      <x:c r="C18" t="str">
        <x:v>Mathematics</x:v>
      </x:c>
      <x:c r="D18" t="str">
        <x:v>1,685 - 1,690</x:v>
      </x:c>
      <x:c r="E18" s="113" t="n">
        <x:v>24</x:v>
      </x:c>
      <x:c r="F18" s="113" t="n">
        <x:v>88</x:v>
      </x:c>
      <x:c r="G18" s="113" t="n">
        <x:v>42</x:v>
      </x:c>
    </x:row>
    <x:row r="19">
      <x:c r="A19" t="n">
        <x:v>2022</x:v>
      </x:c>
      <x:c r="B19" t="str">
        <x:v>Rochester</x:v>
      </x:c>
      <x:c r="C19" t="str">
        <x:v>Reading</x:v>
      </x:c>
      <x:c r="D19" t="str">
        <x:v>1,680 - 1,685</x:v>
      </x:c>
      <x:c r="E19" s="113" t="n">
        <x:v>30</x:v>
      </x:c>
      <x:c r="F19" s="113" t="n">
        <x:v>87</x:v>
      </x:c>
      <x:c r="G19" s="113" t="n">
        <x:v>41</x:v>
      </x:c>
    </x:row>
    <x:row r="20">
      <x:c r="A20" t="n">
        <x:v>2022</x:v>
      </x:c>
      <x:c r="B20" t="str">
        <x:v>Concord</x:v>
      </x:c>
      <x:c r="C20" t="str">
        <x:v>Mathematics</x:v>
      </x:c>
      <x:c r="D20" t="str">
        <x:v>1,915 - 1,920</x:v>
      </x:c>
      <x:c r="E20" s="113" t="n">
        <x:v>30</x:v>
      </x:c>
      <x:c r="F20" s="113" t="n">
        <x:v>96</x:v>
      </x:c>
      <x:c r="G20" s="113" t="n">
        <x:v>51</x:v>
      </x:c>
    </x:row>
    <x:row r="21">
      <x:c r="A21" t="n">
        <x:v>2022</x:v>
      </x:c>
      <x:c r="B21" t="str">
        <x:v>Manchester</x:v>
      </x:c>
      <x:c r="C21" t="str">
        <x:v>Mathematics</x:v>
      </x:c>
      <x:c r="D21" t="str">
        <x:v>5,370 - 5,375</x:v>
      </x:c>
      <x:c r="E21" s="113" t="n">
        <x:v>16</x:v>
      </x:c>
      <x:c r="F21" s="113" t="n">
        <x:v>89</x:v>
      </x:c>
      <x:c r="G21" s="113" t="n">
        <x:v>45</x:v>
      </x:c>
    </x:row>
    <x:row r="22">
      <x:c r="A22" t="n">
        <x:v>2022</x:v>
      </x:c>
      <x:c r="B22" t="str">
        <x:v>Manchester</x:v>
      </x:c>
      <x:c r="C22" t="str">
        <x:v>Reading</x:v>
      </x:c>
      <x:c r="D22" t="str">
        <x:v>5,325 - 5,330</x:v>
      </x:c>
      <x:c r="E22" s="113" t="n">
        <x:v>28</x:v>
      </x:c>
      <x:c r="F22" s="113" t="n">
        <x:v>89</x:v>
      </x:c>
      <x:c r="G22" s="113" t="n">
        <x:v>45</x:v>
      </x:c>
    </x:row>
    <x:row r="23">
      <x:c r="A23" t="n">
        <x:v>2022</x:v>
      </x:c>
      <x:c r="B23" t="str">
        <x:v>Manchester</x:v>
      </x:c>
      <x:c r="C23" t="str">
        <x:v>Science</x:v>
      </x:c>
      <x:c r="D23" t="str">
        <x:v>2,030 - 2,035</x:v>
      </x:c>
      <x:c r="E23" s="113" t="n">
        <x:v>16</x:v>
      </x:c>
      <x:c r="F23" s="113" t="n">
        <x:v>80</x:v>
      </x:c>
      <x:c r="G23" s="113"/>
    </x:row>
    <x:row r="24">
      <x:c r="A24" t="n">
        <x:v>2022</x:v>
      </x:c>
      <x:c r="B24" t="str">
        <x:v>Nashua</x:v>
      </x:c>
      <x:c r="C24" t="str">
        <x:v>Mathematics</x:v>
      </x:c>
      <x:c r="D24" t="str">
        <x:v>4,095 - 4,100</x:v>
      </x:c>
      <x:c r="E24" s="113" t="n">
        <x:v>32</x:v>
      </x:c>
      <x:c r="F24" s="113" t="n">
        <x:v>84</x:v>
      </x:c>
      <x:c r="G24" s="113" t="n">
        <x:v>52</x:v>
      </x:c>
    </x:row>
    <x:row r="25">
      <x:c r="A25" t="n">
        <x:v>2022</x:v>
      </x:c>
      <x:c r="B25" t="str">
        <x:v>Nashua</x:v>
      </x:c>
      <x:c r="C25" t="str">
        <x:v>Reading</x:v>
      </x:c>
      <x:c r="D25" t="str">
        <x:v>4,085 - 4,090</x:v>
      </x:c>
      <x:c r="E25" s="113" t="n">
        <x:v>41</x:v>
      </x:c>
      <x:c r="F25" s="113" t="n">
        <x:v>84</x:v>
      </x:c>
      <x:c r="G25" s="113" t="n">
        <x:v>50</x:v>
      </x:c>
    </x:row>
    <x:row r="26">
      <x:c r="A26" t="n">
        <x:v>2022</x:v>
      </x:c>
      <x:c r="B26" t="str">
        <x:v>Nashua</x:v>
      </x:c>
      <x:c r="C26" t="str">
        <x:v>Science</x:v>
      </x:c>
      <x:c r="D26" t="str">
        <x:v>1,415 - 1,420</x:v>
      </x:c>
      <x:c r="E26" s="113" t="n">
        <x:v>28</x:v>
      </x:c>
      <x:c r="F26" s="113" t="n">
        <x:v>67</x:v>
      </x:c>
      <x:c r="G26" s="113"/>
    </x:row>
    <x:row r="27">
      <x:c r="A27" t="n">
        <x:v>2023</x:v>
      </x:c>
      <x:c r="B27" t="str">
        <x:v>Concord</x:v>
      </x:c>
      <x:c r="C27" t="str">
        <x:v>Reading</x:v>
      </x:c>
      <x:c r="D27" t="str">
        <x:v>1,810 - 1,815</x:v>
      </x:c>
      <x:c r="E27" s="113" t="n">
        <x:v>46</x:v>
      </x:c>
      <x:c r="F27" s="113" t="n">
        <x:v>95</x:v>
      </x:c>
      <x:c r="G27" s="113" t="n">
        <x:v>49</x:v>
      </x:c>
    </x:row>
    <x:row r="28">
      <x:c r="A28" t="n">
        <x:v>2023</x:v>
      </x:c>
      <x:c r="B28" t="str">
        <x:v>Concord</x:v>
      </x:c>
      <x:c r="C28" t="str">
        <x:v>Science</x:v>
      </x:c>
      <x:c r="D28" t="str">
        <x:v>760 - 765</x:v>
      </x:c>
      <x:c r="E28" s="113" t="n">
        <x:v>28</x:v>
      </x:c>
      <x:c r="F28" s="113" t="n">
        <x:v>87</x:v>
      </x:c>
      <x:c r="G28" s="113"/>
    </x:row>
    <x:row r="29">
      <x:c r="A29" t="n">
        <x:v>2023</x:v>
      </x:c>
      <x:c r="B29" t="str">
        <x:v>Bedford</x:v>
      </x:c>
      <x:c r="C29" t="str">
        <x:v>Mathematics</x:v>
      </x:c>
      <x:c r="D29" t="str">
        <x:v>2,210 - 2,215</x:v>
      </x:c>
      <x:c r="E29" s="113" t="n">
        <x:v>74</x:v>
      </x:c>
      <x:c r="F29" s="113" t="n">
        <x:v>97</x:v>
      </x:c>
      <x:c r="G29" s="113" t="n">
        <x:v>50</x:v>
      </x:c>
    </x:row>
    <x:row r="30">
      <x:c r="A30" t="n">
        <x:v>2023</x:v>
      </x:c>
      <x:c r="B30" t="str">
        <x:v>Bedford</x:v>
      </x:c>
      <x:c r="C30" t="str">
        <x:v>Reading</x:v>
      </x:c>
      <x:c r="D30" t="str">
        <x:v>2,200 - 2,205</x:v>
      </x:c>
      <x:c r="E30" s="113" t="n">
        <x:v>79</x:v>
      </x:c>
      <x:c r="F30" s="113" t="n">
        <x:v>97</x:v>
      </x:c>
      <x:c r="G30" s="113" t="n">
        <x:v>53</x:v>
      </x:c>
    </x:row>
    <x:row r="31">
      <x:c r="A31" t="n">
        <x:v>2023</x:v>
      </x:c>
      <x:c r="B31" t="str">
        <x:v>Bedford</x:v>
      </x:c>
      <x:c r="C31" t="str">
        <x:v>Science</x:v>
      </x:c>
      <x:c r="D31" t="str">
        <x:v>925 - 930</x:v>
      </x:c>
      <x:c r="E31" s="113" t="n">
        <x:v>61</x:v>
      </x:c>
      <x:c r="F31" s="113" t="n">
        <x:v>92</x:v>
      </x:c>
      <x:c r="G31" s="113"/>
    </x:row>
    <x:row r="32">
      <x:c r="A32" t="n">
        <x:v>2023</x:v>
      </x:c>
      <x:c r="B32" t="str">
        <x:v>Manchester</x:v>
      </x:c>
      <x:c r="C32" t="str">
        <x:v>Mathematics</x:v>
      </x:c>
      <x:c r="D32" t="str">
        <x:v>5,410 - 5,415</x:v>
      </x:c>
      <x:c r="E32" s="113" t="n">
        <x:v>19</x:v>
      </x:c>
      <x:c r="F32" s="113" t="n">
        <x:v>92</x:v>
      </x:c>
      <x:c r="G32" s="113" t="n">
        <x:v>50</x:v>
      </x:c>
    </x:row>
    <x:row r="33">
      <x:c r="A33" t="n">
        <x:v>2023</x:v>
      </x:c>
      <x:c r="B33" t="str">
        <x:v>Manchester</x:v>
      </x:c>
      <x:c r="C33" t="str">
        <x:v>Reading</x:v>
      </x:c>
      <x:c r="D33" t="str">
        <x:v>5,365 - 5,370</x:v>
      </x:c>
      <x:c r="E33" s="113" t="n">
        <x:v>28</x:v>
      </x:c>
      <x:c r="F33" s="113" t="n">
        <x:v>92</x:v>
      </x:c>
      <x:c r="G33" s="113" t="n">
        <x:v>45</x:v>
      </x:c>
    </x:row>
    <x:row r="34">
      <x:c r="A34" t="n">
        <x:v>2023</x:v>
      </x:c>
      <x:c r="B34" t="str">
        <x:v>Manchester</x:v>
      </x:c>
      <x:c r="C34" t="str">
        <x:v>Science</x:v>
      </x:c>
      <x:c r="D34" t="str">
        <x:v>2,110 - 2,115</x:v>
      </x:c>
      <x:c r="E34" s="113" t="n">
        <x:v>14</x:v>
      </x:c>
      <x:c r="F34" s="113" t="n">
        <x:v>88</x:v>
      </x:c>
      <x:c r="G34" s="113"/>
    </x:row>
    <x:row r="35">
      <x:c r="A35" t="n">
        <x:v>2023</x:v>
      </x:c>
      <x:c r="B35" t="str">
        <x:v>Rochester</x:v>
      </x:c>
      <x:c r="C35" t="str">
        <x:v>Mathematics</x:v>
      </x:c>
      <x:c r="D35" t="str">
        <x:v>1,755 - 1,760</x:v>
      </x:c>
      <x:c r="E35" s="113" t="n">
        <x:v>26</x:v>
      </x:c>
      <x:c r="F35" s="113" t="n">
        <x:v>92</x:v>
      </x:c>
      <x:c r="G35" s="113" t="n">
        <x:v>45</x:v>
      </x:c>
    </x:row>
    <x:row r="36">
      <x:c r="A36" t="n">
        <x:v>2023</x:v>
      </x:c>
      <x:c r="B36" t="str">
        <x:v>Concord</x:v>
      </x:c>
      <x:c r="C36" t="str">
        <x:v>Mathematics</x:v>
      </x:c>
      <x:c r="D36" t="str">
        <x:v>1,810 - 1,815</x:v>
      </x:c>
      <x:c r="E36" s="113" t="n">
        <x:v>32</x:v>
      </x:c>
      <x:c r="F36" s="113" t="n">
        <x:v>95</x:v>
      </x:c>
      <x:c r="G36" s="113" t="n">
        <x:v>51</x:v>
      </x:c>
    </x:row>
    <x:row r="37">
      <x:c r="A37" t="n">
        <x:v>2023</x:v>
      </x:c>
      <x:c r="B37" t="str">
        <x:v>Rochester</x:v>
      </x:c>
      <x:c r="C37" t="str">
        <x:v>Reading</x:v>
      </x:c>
      <x:c r="D37" t="str">
        <x:v>1,720 - 1,725</x:v>
      </x:c>
      <x:c r="E37" s="113" t="n">
        <x:v>34</x:v>
      </x:c>
      <x:c r="F37" s="113" t="n">
        <x:v>90</x:v>
      </x:c>
      <x:c r="G37" s="113" t="n">
        <x:v>46</x:v>
      </x:c>
    </x:row>
    <x:row r="38">
      <x:c r="A38" t="n">
        <x:v>2023</x:v>
      </x:c>
      <x:c r="B38" t="str">
        <x:v>Rochester</x:v>
      </x:c>
      <x:c r="C38" t="str">
        <x:v>Science</x:v>
      </x:c>
      <x:c r="D38" t="str">
        <x:v>745 - 750</x:v>
      </x:c>
      <x:c r="E38" s="113" t="n">
        <x:v>25</x:v>
      </x:c>
      <x:c r="F38" s="113" t="n">
        <x:v>84</x:v>
      </x:c>
      <x:c r="G38" s="113"/>
    </x:row>
    <x:row r="39">
      <x:c r="A39" t="n">
        <x:v>2023</x:v>
      </x:c>
      <x:c r="B39" t="str">
        <x:v>Londonderry</x:v>
      </x:c>
      <x:c r="C39" t="str">
        <x:v>Mathematics</x:v>
      </x:c>
      <x:c r="D39" t="str">
        <x:v>1,810 - 1,815</x:v>
      </x:c>
      <x:c r="E39" s="113" t="n">
        <x:v>44</x:v>
      </x:c>
      <x:c r="F39" s="113" t="n">
        <x:v>88</x:v>
      </x:c>
      <x:c r="G39" s="113" t="n">
        <x:v>48</x:v>
      </x:c>
    </x:row>
    <x:row r="40">
      <x:c r="A40" t="n">
        <x:v>2023</x:v>
      </x:c>
      <x:c r="B40" t="str">
        <x:v>Londonderry</x:v>
      </x:c>
      <x:c r="C40" t="str">
        <x:v>Reading</x:v>
      </x:c>
      <x:c r="D40" t="str">
        <x:v>1,805 - 1,810</x:v>
      </x:c>
      <x:c r="E40" s="113" t="n">
        <x:v>57</x:v>
      </x:c>
      <x:c r="F40" s="113" t="n">
        <x:v>88</x:v>
      </x:c>
      <x:c r="G40" s="113" t="n">
        <x:v>49</x:v>
      </x:c>
    </x:row>
    <x:row r="41">
      <x:c r="A41" t="n">
        <x:v>2023</x:v>
      </x:c>
      <x:c r="B41" t="str">
        <x:v>Londonderry</x:v>
      </x:c>
      <x:c r="C41" t="str">
        <x:v>Science</x:v>
      </x:c>
      <x:c r="D41" t="str">
        <x:v>790 - 795</x:v>
      </x:c>
      <x:c r="E41" s="113" t="n">
        <x:v>35</x:v>
      </x:c>
      <x:c r="F41" s="113" t="n">
        <x:v>87</x:v>
      </x:c>
      <x:c r="G41" s="113"/>
    </x:row>
    <x:row r="42">
      <x:c r="A42" t="n">
        <x:v>2023</x:v>
      </x:c>
      <x:c r="B42" t="str">
        <x:v>Nashua</x:v>
      </x:c>
      <x:c r="C42" t="str">
        <x:v>Mathematics</x:v>
      </x:c>
      <x:c r="D42" t="str">
        <x:v>4,205 - 4,210</x:v>
      </x:c>
      <x:c r="E42" s="113" t="n">
        <x:v>34</x:v>
      </x:c>
      <x:c r="F42" s="113" t="n">
        <x:v>87</x:v>
      </x:c>
      <x:c r="G42" s="113" t="n">
        <x:v>52</x:v>
      </x:c>
    </x:row>
    <x:row r="43">
      <x:c r="A43" t="n">
        <x:v>2023</x:v>
      </x:c>
      <x:c r="B43" t="str">
        <x:v>Nashua</x:v>
      </x:c>
      <x:c r="C43" t="str">
        <x:v>Reading</x:v>
      </x:c>
      <x:c r="D43" t="str">
        <x:v>4,165 - 4,170</x:v>
      </x:c>
      <x:c r="E43" s="113" t="n">
        <x:v>42</x:v>
      </x:c>
      <x:c r="F43" s="113" t="n">
        <x:v>87</x:v>
      </x:c>
      <x:c r="G43" s="113" t="n">
        <x:v>51</x:v>
      </x:c>
    </x:row>
    <x:row r="44">
      <x:c r="A44" t="n">
        <x:v>2023</x:v>
      </x:c>
      <x:c r="B44" t="str">
        <x:v>Nashua</x:v>
      </x:c>
      <x:c r="C44" t="str">
        <x:v>Science</x:v>
      </x:c>
      <x:c r="D44" t="str">
        <x:v>1,420 - 1,425</x:v>
      </x:c>
      <x:c r="E44" s="113" t="n">
        <x:v>27</x:v>
      </x:c>
      <x:c r="F44" s="113" t="n">
        <x:v>65</x:v>
      </x:c>
      <x:c r="G44" s="113"/>
    </x:row>
    <x:row r="45">
      <x:c r="A45" t="n">
        <x:v>2023</x:v>
      </x:c>
      <x:c r="B45" t="str">
        <x:v>Portsmouth</x:v>
      </x:c>
      <x:c r="C45" t="str">
        <x:v>Mathematics</x:v>
      </x:c>
      <x:c r="D45" t="str">
        <x:v>1,135 - 1,140</x:v>
      </x:c>
      <x:c r="E45" s="113" t="n">
        <x:v>64</x:v>
      </x:c>
      <x:c r="F45" s="113" t="n">
        <x:v>95</x:v>
      </x:c>
      <x:c r="G45" s="113" t="n">
        <x:v>52</x:v>
      </x:c>
    </x:row>
    <x:row r="46">
      <x:c r="A46" t="n">
        <x:v>2023</x:v>
      </x:c>
      <x:c r="B46" t="str">
        <x:v>Portsmouth</x:v>
      </x:c>
      <x:c r="C46" t="str">
        <x:v>Reading</x:v>
      </x:c>
      <x:c r="D46" t="str">
        <x:v>1,125 - 1,130</x:v>
      </x:c>
      <x:c r="E46" s="113" t="n">
        <x:v>76</x:v>
      </x:c>
      <x:c r="F46" s="113" t="n">
        <x:v>94</x:v>
      </x:c>
      <x:c r="G46" s="113" t="n">
        <x:v>53</x:v>
      </x:c>
    </x:row>
    <x:row r="47">
      <x:c r="A47" t="n">
        <x:v>2023</x:v>
      </x:c>
      <x:c r="B47" t="str">
        <x:v>Portsmouth</x:v>
      </x:c>
      <x:c r="C47" t="str">
        <x:v>Science</x:v>
      </x:c>
      <x:c r="D47" t="str">
        <x:v>515 - 520</x:v>
      </x:c>
      <x:c r="E47" s="113" t="n">
        <x:v>55</x:v>
      </x:c>
      <x:c r="F47" s="113" t="n">
        <x:v>90</x:v>
      </x:c>
      <x:c r="G47" s="113"/>
    </x:row>
    <x:row r="48">
      <x:c r="A48" t="n">
        <x:v>2024</x:v>
      </x:c>
      <x:c r="B48" t="str">
        <x:v>Bedford</x:v>
      </x:c>
      <x:c r="C48" t="str">
        <x:v>Mathematics</x:v>
      </x:c>
      <x:c r="D48" t="str">
        <x:v>2,130 - 2,135</x:v>
      </x:c>
      <x:c r="E48" s="113" t="n">
        <x:v>69</x:v>
      </x:c>
      <x:c r="F48" s="113" t="n">
        <x:v>97</x:v>
      </x:c>
      <x:c r="G48" s="113" t="n">
        <x:v>47</x:v>
      </x:c>
    </x:row>
    <x:row r="49">
      <x:c r="A49" t="n">
        <x:v>2024</x:v>
      </x:c>
      <x:c r="B49" t="str">
        <x:v>Bedford</x:v>
      </x:c>
      <x:c r="C49" t="str">
        <x:v>Reading</x:v>
      </x:c>
      <x:c r="D49" t="str">
        <x:v>2,120 - 2,125</x:v>
      </x:c>
      <x:c r="E49" s="113" t="n">
        <x:v>76</x:v>
      </x:c>
      <x:c r="F49" s="113" t="n">
        <x:v>97</x:v>
      </x:c>
      <x:c r="G49" s="113" t="n">
        <x:v>50</x:v>
      </x:c>
    </x:row>
    <x:row r="50">
      <x:c r="A50" t="n">
        <x:v>2024</x:v>
      </x:c>
      <x:c r="B50" t="str">
        <x:v>Bedford</x:v>
      </x:c>
      <x:c r="C50" t="str">
        <x:v>Science</x:v>
      </x:c>
      <x:c r="D50" t="str">
        <x:v>915 - 920</x:v>
      </x:c>
      <x:c r="E50" s="113" t="n">
        <x:v>51</x:v>
      </x:c>
      <x:c r="F50" s="113" t="n">
        <x:v>92</x:v>
      </x:c>
      <x:c r="G50" s="113"/>
    </x:row>
    <x:row r="51">
      <x:c r="A51" t="n">
        <x:v>2024</x:v>
      </x:c>
      <x:c r="B51" t="str">
        <x:v>Concord</x:v>
      </x:c>
      <x:c r="C51" t="str">
        <x:v>Mathematics</x:v>
      </x:c>
      <x:c r="D51" t="str">
        <x:v>1,795 - 1,800</x:v>
      </x:c>
      <x:c r="E51" s="113" t="n">
        <x:v>36</x:v>
      </x:c>
      <x:c r="F51" s="113" t="n">
        <x:v>95</x:v>
      </x:c>
      <x:c r="G51" s="113" t="n">
        <x:v>56</x:v>
      </x:c>
    </x:row>
    <x:row r="52">
      <x:c r="A52" t="n">
        <x:v>2024</x:v>
      </x:c>
      <x:c r="B52" t="str">
        <x:v>Concord</x:v>
      </x:c>
      <x:c r="C52" t="str">
        <x:v>Reading</x:v>
      </x:c>
      <x:c r="D52" t="str">
        <x:v>1,795 - 1,800</x:v>
      </x:c>
      <x:c r="E52" s="113" t="n">
        <x:v>51</x:v>
      </x:c>
      <x:c r="F52" s="113" t="n">
        <x:v>95</x:v>
      </x:c>
      <x:c r="G52" s="113" t="n">
        <x:v>55</x:v>
      </x:c>
    </x:row>
    <x:row r="53">
      <x:c r="A53" t="n">
        <x:v>2024</x:v>
      </x:c>
      <x:c r="B53" t="str">
        <x:v>Concord</x:v>
      </x:c>
      <x:c r="C53" t="str">
        <x:v>Science</x:v>
      </x:c>
      <x:c r="D53" t="str">
        <x:v>775 - 780</x:v>
      </x:c>
      <x:c r="E53" s="113" t="n">
        <x:v>34</x:v>
      </x:c>
      <x:c r="F53" s="113" t="n">
        <x:v>88</x:v>
      </x:c>
      <x:c r="G53" s="113"/>
    </x:row>
    <x:row r="54">
      <x:c r="A54" t="n">
        <x:v>2024</x:v>
      </x:c>
      <x:c r="B54" t="str">
        <x:v>Londonderry</x:v>
      </x:c>
      <x:c r="C54" t="str">
        <x:v>Mathematics</x:v>
      </x:c>
      <x:c r="D54" t="str">
        <x:v>1,875 - 1,880</x:v>
      </x:c>
      <x:c r="E54" s="113" t="n">
        <x:v>46</x:v>
      </x:c>
      <x:c r="F54" s="113" t="n">
        <x:v>89</x:v>
      </x:c>
      <x:c r="G54" s="113" t="n">
        <x:v>53</x:v>
      </x:c>
    </x:row>
    <x:row r="55">
      <x:c r="A55" t="n">
        <x:v>2024</x:v>
      </x:c>
      <x:c r="B55" t="str">
        <x:v>Londonderry</x:v>
      </x:c>
      <x:c r="C55" t="str">
        <x:v>Reading</x:v>
      </x:c>
      <x:c r="D55" t="str">
        <x:v>1,865 - 1,870</x:v>
      </x:c>
      <x:c r="E55" s="113" t="n">
        <x:v>56</x:v>
      </x:c>
      <x:c r="F55" s="113" t="n">
        <x:v>89</x:v>
      </x:c>
      <x:c r="G55" s="113" t="n">
        <x:v>48</x:v>
      </x:c>
    </x:row>
    <x:row r="56">
      <x:c r="A56" t="n">
        <x:v>2024</x:v>
      </x:c>
      <x:c r="B56" t="str">
        <x:v>Londonderry</x:v>
      </x:c>
      <x:c r="C56" t="str">
        <x:v>Science</x:v>
      </x:c>
      <x:c r="D56" t="str">
        <x:v>745 - 750</x:v>
      </x:c>
      <x:c r="E56" s="113" t="n">
        <x:v>28</x:v>
      </x:c>
      <x:c r="F56" s="113" t="n">
        <x:v>84</x:v>
      </x:c>
      <x:c r="G56" s="113"/>
    </x:row>
    <x:row r="57">
      <x:c r="A57" t="n">
        <x:v>2024</x:v>
      </x:c>
      <x:c r="B57" t="str">
        <x:v>Manchester</x:v>
      </x:c>
      <x:c r="C57" t="str">
        <x:v>Mathematics</x:v>
      </x:c>
      <x:c r="D57" t="str">
        <x:v>5,525 - 5,530</x:v>
      </x:c>
      <x:c r="E57" s="113" t="n">
        <x:v>19</x:v>
      </x:c>
      <x:c r="F57" s="113" t="n">
        <x:v>94</x:v>
      </x:c>
      <x:c r="G57" s="113" t="n">
        <x:v>46</x:v>
      </x:c>
    </x:row>
    <x:row r="58">
      <x:c r="A58" t="n">
        <x:v>2024</x:v>
      </x:c>
      <x:c r="B58" t="str">
        <x:v>Manchester</x:v>
      </x:c>
      <x:c r="C58" t="str">
        <x:v>Reading</x:v>
      </x:c>
      <x:c r="D58" t="str">
        <x:v>5,475 - 5,480</x:v>
      </x:c>
      <x:c r="E58" s="113" t="n">
        <x:v>29</x:v>
      </x:c>
      <x:c r="F58" s="113" t="n">
        <x:v>94</x:v>
      </x:c>
      <x:c r="G58" s="113" t="n">
        <x:v>45</x:v>
      </x:c>
    </x:row>
    <x:row r="59">
      <x:c r="A59" t="n">
        <x:v>2024</x:v>
      </x:c>
      <x:c r="B59" t="str">
        <x:v>Manchester</x:v>
      </x:c>
      <x:c r="C59" t="str">
        <x:v>Science</x:v>
      </x:c>
      <x:c r="D59" t="str">
        <x:v>2,160 - 2,165</x:v>
      </x:c>
      <x:c r="E59" s="113" t="n">
        <x:v>15</x:v>
      </x:c>
      <x:c r="F59" s="113" t="n">
        <x:v>88</x:v>
      </x:c>
      <x:c r="G59" s="113"/>
    </x:row>
    <x:row r="60">
      <x:c r="A60" t="n">
        <x:v>2024</x:v>
      </x:c>
      <x:c r="B60" t="str">
        <x:v>Nashua</x:v>
      </x:c>
      <x:c r="C60" t="str">
        <x:v>Mathematics</x:v>
      </x:c>
      <x:c r="D60" t="str">
        <x:v>4,270 - 4,275</x:v>
      </x:c>
      <x:c r="E60" s="113" t="n">
        <x:v>34</x:v>
      </x:c>
      <x:c r="F60" s="113" t="n">
        <x:v>89</x:v>
      </x:c>
      <x:c r="G60" s="113" t="n">
        <x:v>51</x:v>
      </x:c>
    </x:row>
    <x:row r="61">
      <x:c r="A61" t="n">
        <x:v>2024</x:v>
      </x:c>
      <x:c r="B61" t="str">
        <x:v>Nashua</x:v>
      </x:c>
      <x:c r="C61" t="str">
        <x:v>Reading</x:v>
      </x:c>
      <x:c r="D61" t="str">
        <x:v>4,215 - 4,220</x:v>
      </x:c>
      <x:c r="E61" s="113" t="n">
        <x:v>44</x:v>
      </x:c>
      <x:c r="F61" s="113" t="n">
        <x:v>89</x:v>
      </x:c>
      <x:c r="G61" s="113" t="n">
        <x:v>50</x:v>
      </x:c>
    </x:row>
    <x:row r="62">
      <x:c r="A62" t="n">
        <x:v>2024</x:v>
      </x:c>
      <x:c r="B62" t="str">
        <x:v>Nashua</x:v>
      </x:c>
      <x:c r="C62" t="str">
        <x:v>Science</x:v>
      </x:c>
      <x:c r="D62" t="str">
        <x:v>1,590 - 1,595</x:v>
      </x:c>
      <x:c r="E62" s="113" t="n">
        <x:v>27</x:v>
      </x:c>
      <x:c r="F62" s="113" t="n">
        <x:v>72</x:v>
      </x:c>
      <x:c r="G62" s="113"/>
    </x:row>
    <x:row r="63">
      <x:c r="A63" t="n">
        <x:v>2024</x:v>
      </x:c>
      <x:c r="B63" t="str">
        <x:v>Portsmouth</x:v>
      </x:c>
      <x:c r="C63" t="str">
        <x:v>Mathematics</x:v>
      </x:c>
      <x:c r="D63" t="str">
        <x:v>1,095 - 1,100</x:v>
      </x:c>
      <x:c r="E63" s="113" t="n">
        <x:v>66</x:v>
      </x:c>
      <x:c r="F63" s="113" t="n">
        <x:v>94</x:v>
      </x:c>
      <x:c r="G63" s="113" t="n">
        <x:v>54</x:v>
      </x:c>
    </x:row>
    <x:row r="64">
      <x:c r="A64" t="n">
        <x:v>2024</x:v>
      </x:c>
      <x:c r="B64" t="str">
        <x:v>Portsmouth</x:v>
      </x:c>
      <x:c r="C64" t="str">
        <x:v>Reading</x:v>
      </x:c>
      <x:c r="D64" t="str">
        <x:v>1,095 - 1,100</x:v>
      </x:c>
      <x:c r="E64" s="113" t="n">
        <x:v>76</x:v>
      </x:c>
      <x:c r="F64" s="113" t="n">
        <x:v>94</x:v>
      </x:c>
      <x:c r="G64" s="113" t="n">
        <x:v>54</x:v>
      </x:c>
    </x:row>
    <x:row r="65">
      <x:c r="A65" t="n">
        <x:v>2024</x:v>
      </x:c>
      <x:c r="B65" t="str">
        <x:v>Portsmouth</x:v>
      </x:c>
      <x:c r="C65" t="str">
        <x:v>Science</x:v>
      </x:c>
      <x:c r="D65" t="str">
        <x:v>450 - 455</x:v>
      </x:c>
      <x:c r="E65" s="113" t="n">
        <x:v>56</x:v>
      </x:c>
      <x:c r="F65" s="113" t="n">
        <x:v>81</x:v>
      </x:c>
      <x:c r="G65" s="113"/>
    </x:row>
    <x:row r="66">
      <x:c r="A66" t="n">
        <x:v>2024</x:v>
      </x:c>
      <x:c r="B66" t="str">
        <x:v>Rochester</x:v>
      </x:c>
      <x:c r="C66" t="str">
        <x:v>Mathematics</x:v>
      </x:c>
      <x:c r="D66" t="str">
        <x:v>1,685 - 1,690</x:v>
      </x:c>
      <x:c r="E66" s="113" t="n">
        <x:v>24</x:v>
      </x:c>
      <x:c r="F66" s="113" t="n">
        <x:v>90</x:v>
      </x:c>
      <x:c r="G66" s="113" t="n">
        <x:v>44</x:v>
      </x:c>
    </x:row>
    <x:row r="67">
      <x:c r="A67" t="n">
        <x:v>2024</x:v>
      </x:c>
      <x:c r="B67" t="str">
        <x:v>Rochester</x:v>
      </x:c>
      <x:c r="C67" t="str">
        <x:v>Reading</x:v>
      </x:c>
      <x:c r="D67" t="str">
        <x:v>1,685 - 1,690</x:v>
      </x:c>
      <x:c r="E67" s="113" t="n">
        <x:v>37</x:v>
      </x:c>
      <x:c r="F67" s="113" t="n">
        <x:v>90</x:v>
      </x:c>
      <x:c r="G67" s="113" t="n">
        <x:v>47</x:v>
      </x:c>
    </x:row>
    <x:row r="68">
      <x:c r="A68" t="n">
        <x:v>2024</x:v>
      </x:c>
      <x:c r="B68" t="str">
        <x:v>Rochester</x:v>
      </x:c>
      <x:c r="C68" t="str">
        <x:v>Science</x:v>
      </x:c>
      <x:c r="D68" t="str">
        <x:v>675 - 680</x:v>
      </x:c>
      <x:c r="E68" s="113" t="n">
        <x:v>20</x:v>
      </x:c>
      <x:c r="F68" s="113" t="n">
        <x:v>79</x:v>
      </x:c>
      <x:c r="G68" s="113"/>
    </x:row>
    <x:row r="69">
      <x:c r="A69" t="n">
        <x:v>2022</x:v>
      </x:c>
      <x:c r="B69" t="str">
        <x:v>New Hampshire</x:v>
      </x:c>
      <x:c r="C69" t="str">
        <x:v>Mathematics</x:v>
      </x:c>
      <x:c r="D69" t="str">
        <x:v>82,315 - 82,320</x:v>
      </x:c>
      <x:c r="E69" s="113" t="n">
        <x:v>40</x:v>
      </x:c>
      <x:c r="F69" s="113" t="n">
        <x:v>92</x:v>
      </x:c>
      <x:c r="G69" s="113" t="n">
        <x:v>50</x:v>
      </x:c>
    </x:row>
    <x:row r="70">
      <x:c r="A70" t="n">
        <x:v>2022</x:v>
      </x:c>
      <x:c r="B70" t="str">
        <x:v>New Hampshire</x:v>
      </x:c>
      <x:c r="C70" t="str">
        <x:v>Reading</x:v>
      </x:c>
      <x:c r="D70" t="str">
        <x:v>81,935 - 81,940</x:v>
      </x:c>
      <x:c r="E70" s="113" t="n">
        <x:v>51</x:v>
      </x:c>
      <x:c r="F70" s="113" t="n">
        <x:v>92</x:v>
      </x:c>
      <x:c r="G70" s="113" t="n">
        <x:v>50</x:v>
      </x:c>
    </x:row>
    <x:row r="71">
      <x:c r="A71" t="n">
        <x:v>2022</x:v>
      </x:c>
      <x:c r="B71" t="str">
        <x:v>New Hampshire</x:v>
      </x:c>
      <x:c r="C71" t="str">
        <x:v>Science</x:v>
      </x:c>
      <x:c r="D71" t="str">
        <x:v>33,490 - 33,495</x:v>
      </x:c>
      <x:c r="E71" s="113" t="n">
        <x:v>37</x:v>
      </x:c>
      <x:c r="F71" s="113" t="n">
        <x:v>86</x:v>
      </x:c>
      <x:c r="G71" s="113"/>
    </x:row>
    <x:row r="72">
      <x:c r="A72" t="n">
        <x:v>2023</x:v>
      </x:c>
      <x:c r="B72" t="str">
        <x:v>New Hampshire</x:v>
      </x:c>
      <x:c r="C72" t="str">
        <x:v>Mathematics</x:v>
      </x:c>
      <x:c r="D72" t="str">
        <x:v>80,965 - 80,970</x:v>
      </x:c>
      <x:c r="E72" s="113" t="n">
        <x:v>42</x:v>
      </x:c>
      <x:c r="F72" s="113" t="n">
        <x:v>94</x:v>
      </x:c>
      <x:c r="G72" s="113" t="n">
        <x:v>50</x:v>
      </x:c>
    </x:row>
    <x:row r="73">
      <x:c r="A73" t="n">
        <x:v>2023</x:v>
      </x:c>
      <x:c r="B73" t="str">
        <x:v>New Hampshire</x:v>
      </x:c>
      <x:c r="C73" t="str">
        <x:v>Reading</x:v>
      </x:c>
      <x:c r="D73" t="str">
        <x:v>80,660 - 80,665</x:v>
      </x:c>
      <x:c r="E73" s="113" t="n">
        <x:v>52</x:v>
      </x:c>
      <x:c r="F73" s="113" t="n">
        <x:v>94</x:v>
      </x:c>
      <x:c r="G73" s="113" t="n">
        <x:v>50</x:v>
      </x:c>
    </x:row>
    <x:row r="74">
      <x:c r="A74" t="n">
        <x:v>2023</x:v>
      </x:c>
      <x:c r="B74" t="str">
        <x:v>New Hampshire</x:v>
      </x:c>
      <x:c r="C74" t="str">
        <x:v>Science</x:v>
      </x:c>
      <x:c r="D74" t="str">
        <x:v>33,090 - 33,095</x:v>
      </x:c>
      <x:c r="E74" s="113" t="n">
        <x:v>37</x:v>
      </x:c>
      <x:c r="F74" s="113" t="n">
        <x:v>88</x:v>
      </x:c>
      <x:c r="G74" s="113"/>
    </x:row>
    <x:row r="75">
      <x:c r="A75" t="n">
        <x:v>2024</x:v>
      </x:c>
      <x:c r="B75" t="str">
        <x:v>New Hampshire</x:v>
      </x:c>
      <x:c r="C75" t="str">
        <x:v>Mathematics</x:v>
      </x:c>
      <x:c r="D75" t="str">
        <x:v>79,505 - 79,510</x:v>
      </x:c>
      <x:c r="E75" s="113" t="n">
        <x:v>41</x:v>
      </x:c>
      <x:c r="F75" s="113" t="n">
        <x:v>95</x:v>
      </x:c>
      <x:c r="G75" s="113" t="n">
        <x:v>50</x:v>
      </x:c>
    </x:row>
    <x:row r="76">
      <x:c r="A76" t="n">
        <x:v>2024</x:v>
      </x:c>
      <x:c r="B76" t="str">
        <x:v>New Hampshire</x:v>
      </x:c>
      <x:c r="C76" t="str">
        <x:v>Reading</x:v>
      </x:c>
      <x:c r="D76" t="str">
        <x:v>79,045 - 79,050</x:v>
      </x:c>
      <x:c r="E76" s="113" t="n">
        <x:v>53</x:v>
      </x:c>
      <x:c r="F76" s="113" t="n">
        <x:v>94</x:v>
      </x:c>
      <x:c r="G76" s="113" t="n">
        <x:v>50</x:v>
      </x:c>
    </x:row>
    <x:row r="77">
      <x:c r="A77" t="n">
        <x:v>2024</x:v>
      </x:c>
      <x:c r="B77" t="str">
        <x:v>New Hampshire</x:v>
      </x:c>
      <x:c r="C77" t="str">
        <x:v>Science</x:v>
      </x:c>
      <x:c r="D77" t="str">
        <x:v>32,420 - 32,425</x:v>
      </x:c>
      <x:c r="E77" s="113" t="n">
        <x:v>36</x:v>
      </x:c>
      <x:c r="F77" s="113" t="n">
        <x:v>89</x:v>
      </x:c>
      <x:c r="G77" s="113"/>
    </x:row>
  </x:sheetData>
  <x:mergeCells>
    <x:mergeCell ref="A1:G2"/>
    <x:mergeCell ref="A3:G3"/>
  </x:mergeCells>
  <x:pageMargins left="0.7" right="0.7" top="0.75" bottom="0.75" header="0.3" footer="0.3"/>
  <x:tableParts count="1">
    <x:tablePart xmlns:r="http://schemas.openxmlformats.org/officeDocument/2006/relationships" r:id="Rabdfe6eba7f349f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22" hidden="0" customWidth="1"/>
    <x:col min="3" max="3" width="22" hidden="0" customWidth="1"/>
    <x:col min="4" max="4" width="26" hidden="0" customWidth="1"/>
    <x:col min="5" max="5" width="26" hidden="0" customWidth="1"/>
    <x:col min="6" max="6" width="26" hidden="0" customWidth="1"/>
    <x:col min="7" max="7" width="26" hidden="0" customWidth="1"/>
  </x:cols>
  <x:sheetData>
    <x:row r="1">
      <x:c r="A1" s="3" t="str">
        <x:v>2024 Equity Lens</x:v>
      </x:c>
      <x:c r="B1" s="3"/>
      <x:c r="C1" s="3"/>
      <x:c r="D1" s="3"/>
      <x:c r="E1" s="3"/>
      <x:c r="F1" s="3"/>
      <x:c r="G1" s="3"/>
    </x:row>
    <x:row r="2">
      <x:c r="A2" s="3"/>
      <x:c r="B2" s="3"/>
      <x:c r="C2" s="3"/>
      <x:c r="D2" s="3"/>
      <x:c r="E2" s="3"/>
      <x:c r="F2" s="3"/>
      <x:c r="G2" s="3"/>
    </x:row>
    <x:row r="3">
      <x:c r="A3" s="6" t="str">
        <x:v>Manchester and statewide results for selected public subgroups. Suppressed or bounded values are preserved exactly as reported.</x:v>
      </x:c>
      <x:c r="B3" s="6"/>
      <x:c r="C3" s="6"/>
      <x:c r="D3" s="6"/>
      <x:c r="E3" s="6"/>
      <x:c r="F3" s="6"/>
      <x:c r="G3" s="6"/>
    </x:row>
    <x:row r="5">
      <x:c r="A5" s="73" t="str">
        <x:v>Geography</x:v>
      </x:c>
      <x:c r="B5" s="74" t="str">
        <x:v>Subject</x:v>
      </x:c>
      <x:c r="C5" s="74" t="str">
        <x:v>Subgroup</x:v>
      </x:c>
      <x:c r="D5" s="74" t="str">
        <x:v>FAY Students (reported range)</x:v>
      </x:c>
      <x:c r="E5" s="74" t="str">
        <x:v>Proficiency (reported)</x:v>
      </x:c>
      <x:c r="F5" s="74" t="str">
        <x:v>Participation (reported)</x:v>
      </x:c>
      <x:c r="G5" s="75" t="str">
        <x:v>Growth (reported)</x:v>
      </x:c>
    </x:row>
    <x:row r="6">
      <x:c r="A6" t="str">
        <x:v>Manchester</x:v>
      </x:c>
      <x:c r="B6" t="str">
        <x:v>Mathematics</x:v>
      </x:c>
      <x:c r="C6" t="str">
        <x:v>All students</x:v>
      </x:c>
      <x:c r="D6" t="str">
        <x:v>5,525 - 5,530</x:v>
      </x:c>
      <x:c r="E6" t="str">
        <x:v>19</x:v>
      </x:c>
      <x:c r="F6" t="n">
        <x:v>94</x:v>
      </x:c>
      <x:c r="G6" t="str">
        <x:v>46</x:v>
      </x:c>
    </x:row>
    <x:row r="7">
      <x:c r="A7" t="str">
        <x:v>Manchester</x:v>
      </x:c>
      <x:c r="B7" t="str">
        <x:v>Mathematics</x:v>
      </x:c>
      <x:c r="C7" t="str">
        <x:v>Asian+PI+Hawaiian</x:v>
      </x:c>
      <x:c r="D7" t="str">
        <x:v>220 - 225</x:v>
      </x:c>
      <x:c r="E7" t="str">
        <x:v>37</x:v>
      </x:c>
      <x:c r="F7" t="n">
        <x:v>99</x:v>
      </x:c>
      <x:c r="G7" t="str">
        <x:v>55</x:v>
      </x:c>
    </x:row>
    <x:row r="8">
      <x:c r="A8" t="str">
        <x:v>Manchester</x:v>
      </x:c>
      <x:c r="B8" t="str">
        <x:v>Mathematics</x:v>
      </x:c>
      <x:c r="C8" t="str">
        <x:v>Black</x:v>
      </x:c>
      <x:c r="D8" t="str">
        <x:v>585 - 590</x:v>
      </x:c>
      <x:c r="E8" t="str">
        <x:v>10</x:v>
      </x:c>
      <x:c r="F8" t="n">
        <x:v>94</x:v>
      </x:c>
      <x:c r="G8" t="str">
        <x:v>45</x:v>
      </x:c>
    </x:row>
    <x:row r="9">
      <x:c r="A9" t="str">
        <x:v>Manchester</x:v>
      </x:c>
      <x:c r="B9" t="str">
        <x:v>Mathematics</x:v>
      </x:c>
      <x:c r="C9" t="str">
        <x:v>EL - Current</x:v>
      </x:c>
      <x:c r="D9" t="str">
        <x:v>960 - 965</x:v>
      </x:c>
      <x:c r="E9" t="str">
        <x:v>&lt; 10 %</x:v>
      </x:c>
      <x:c r="F9" t="n">
        <x:v>95</x:v>
      </x:c>
      <x:c r="G9" t="str">
        <x:v>46</x:v>
      </x:c>
    </x:row>
    <x:row r="10">
      <x:c r="A10" t="str">
        <x:v>Manchester</x:v>
      </x:c>
      <x:c r="B10" t="str">
        <x:v>Mathematics</x:v>
      </x:c>
      <x:c r="C10" t="str">
        <x:v>Female</x:v>
      </x:c>
      <x:c r="D10" t="str">
        <x:v>2,665 - 2,670</x:v>
      </x:c>
      <x:c r="E10" t="str">
        <x:v>17</x:v>
      </x:c>
      <x:c r="F10" t="n">
        <x:v>95</x:v>
      </x:c>
      <x:c r="G10" t="str">
        <x:v>47</x:v>
      </x:c>
    </x:row>
    <x:row r="11">
      <x:c r="A11" t="str">
        <x:v>Manchester</x:v>
      </x:c>
      <x:c r="B11" t="str">
        <x:v>Mathematics</x:v>
      </x:c>
      <x:c r="C11" t="str">
        <x:v>Hispanic</x:v>
      </x:c>
      <x:c r="D11" t="str">
        <x:v>1,690 - 1,695</x:v>
      </x:c>
      <x:c r="E11" t="str">
        <x:v>10</x:v>
      </x:c>
      <x:c r="F11" t="n">
        <x:v>95</x:v>
      </x:c>
      <x:c r="G11" t="str">
        <x:v>45</x:v>
      </x:c>
    </x:row>
    <x:row r="12">
      <x:c r="A12" t="str">
        <x:v>Manchester</x:v>
      </x:c>
      <x:c r="B12" t="str">
        <x:v>Mathematics</x:v>
      </x:c>
      <x:c r="C12" t="str">
        <x:v>Homeless</x:v>
      </x:c>
      <x:c r="D12" t="str">
        <x:v>265 - 270</x:v>
      </x:c>
      <x:c r="E12" t="str">
        <x:v>&lt; 10 %</x:v>
      </x:c>
      <x:c r="F12" t="n">
        <x:v>90</x:v>
      </x:c>
      <x:c r="G12" t="str">
        <x:v>38</x:v>
      </x:c>
    </x:row>
    <x:row r="13">
      <x:c r="A13" t="str">
        <x:v>Manchester</x:v>
      </x:c>
      <x:c r="B13" t="str">
        <x:v>Mathematics</x:v>
      </x:c>
      <x:c r="C13" t="str">
        <x:v>IEP/SWD</x:v>
      </x:c>
      <x:c r="D13" t="str">
        <x:v>1,225 - 1,230</x:v>
      </x:c>
      <x:c r="E13" t="str">
        <x:v>&lt; 10 %</x:v>
      </x:c>
      <x:c r="F13" t="n">
        <x:v>87</x:v>
      </x:c>
      <x:c r="G13" t="str">
        <x:v>40</x:v>
      </x:c>
    </x:row>
    <x:row r="14">
      <x:c r="A14" t="str">
        <x:v>Manchester</x:v>
      </x:c>
      <x:c r="B14" t="str">
        <x:v>Mathematics</x:v>
      </x:c>
      <x:c r="C14" t="str">
        <x:v>Male</x:v>
      </x:c>
      <x:c r="D14" t="str">
        <x:v>2,860 - 2,865</x:v>
      </x:c>
      <x:c r="E14" t="str">
        <x:v>20</x:v>
      </x:c>
      <x:c r="F14" t="n">
        <x:v>93</x:v>
      </x:c>
      <x:c r="G14" t="str">
        <x:v>46</x:v>
      </x:c>
    </x:row>
    <x:row r="15">
      <x:c r="A15" t="str">
        <x:v>Manchester</x:v>
      </x:c>
      <x:c r="B15" t="str">
        <x:v>Mathematics</x:v>
      </x:c>
      <x:c r="C15" t="str">
        <x:v>SES</x:v>
      </x:c>
      <x:c r="D15" t="str">
        <x:v>3,075 - 3,080</x:v>
      </x:c>
      <x:c r="E15" t="str">
        <x:v>12</x:v>
      </x:c>
      <x:c r="F15" t="n">
        <x:v>93</x:v>
      </x:c>
      <x:c r="G15" t="str">
        <x:v>44</x:v>
      </x:c>
    </x:row>
    <x:row r="16">
      <x:c r="A16" t="str">
        <x:v>Manchester</x:v>
      </x:c>
      <x:c r="B16" t="str">
        <x:v>Mathematics</x:v>
      </x:c>
      <x:c r="C16" t="str">
        <x:v>White</x:v>
      </x:c>
      <x:c r="D16" t="str">
        <x:v>2,700 - 2,705</x:v>
      </x:c>
      <x:c r="E16" t="str">
        <x:v>24</x:v>
      </x:c>
      <x:c r="F16" t="n">
        <x:v>93</x:v>
      </x:c>
      <x:c r="G16" t="str">
        <x:v>47</x:v>
      </x:c>
    </x:row>
    <x:row r="17">
      <x:c r="A17" t="str">
        <x:v>Manchester</x:v>
      </x:c>
      <x:c r="B17" t="str">
        <x:v>Reading</x:v>
      </x:c>
      <x:c r="C17" t="str">
        <x:v>All students</x:v>
      </x:c>
      <x:c r="D17" t="str">
        <x:v>5,475 - 5,480</x:v>
      </x:c>
      <x:c r="E17" t="str">
        <x:v>29</x:v>
      </x:c>
      <x:c r="F17" t="n">
        <x:v>94</x:v>
      </x:c>
      <x:c r="G17" t="str">
        <x:v>45</x:v>
      </x:c>
    </x:row>
    <x:row r="18">
      <x:c r="A18" t="str">
        <x:v>Manchester</x:v>
      </x:c>
      <x:c r="B18" t="str">
        <x:v>Reading</x:v>
      </x:c>
      <x:c r="C18" t="str">
        <x:v>Asian+PI+Hawaiian</x:v>
      </x:c>
      <x:c r="D18" t="str">
        <x:v>215 - 220</x:v>
      </x:c>
      <x:c r="E18" t="str">
        <x:v>49</x:v>
      </x:c>
      <x:c r="F18" t="n">
        <x:v>99</x:v>
      </x:c>
      <x:c r="G18" t="str">
        <x:v>55</x:v>
      </x:c>
    </x:row>
    <x:row r="19">
      <x:c r="A19" t="str">
        <x:v>Manchester</x:v>
      </x:c>
      <x:c r="B19" t="str">
        <x:v>Reading</x:v>
      </x:c>
      <x:c r="C19" t="str">
        <x:v>Black</x:v>
      </x:c>
      <x:c r="D19" t="str">
        <x:v>570 - 575</x:v>
      </x:c>
      <x:c r="E19" t="str">
        <x:v>19</x:v>
      </x:c>
      <x:c r="F19" t="n">
        <x:v>94</x:v>
      </x:c>
      <x:c r="G19" t="str">
        <x:v>43</x:v>
      </x:c>
    </x:row>
    <x:row r="20">
      <x:c r="A20" t="str">
        <x:v>Manchester</x:v>
      </x:c>
      <x:c r="B20" t="str">
        <x:v>Reading</x:v>
      </x:c>
      <x:c r="C20" t="str">
        <x:v>EL - Current</x:v>
      </x:c>
      <x:c r="D20" t="str">
        <x:v>910 - 915</x:v>
      </x:c>
      <x:c r="E20" t="str">
        <x:v>&lt; 10 %</x:v>
      </x:c>
      <x:c r="F20" t="n">
        <x:v>96</x:v>
      </x:c>
      <x:c r="G20" t="str">
        <x:v>42</x:v>
      </x:c>
    </x:row>
    <x:row r="21">
      <x:c r="A21" t="str">
        <x:v>Manchester</x:v>
      </x:c>
      <x:c r="B21" t="str">
        <x:v>Reading</x:v>
      </x:c>
      <x:c r="C21" t="str">
        <x:v>Female</x:v>
      </x:c>
      <x:c r="D21" t="str">
        <x:v>2,645 - 2,650</x:v>
      </x:c>
      <x:c r="E21" t="str">
        <x:v>32</x:v>
      </x:c>
      <x:c r="F21" t="n">
        <x:v>95</x:v>
      </x:c>
      <x:c r="G21" t="str">
        <x:v>47</x:v>
      </x:c>
    </x:row>
    <x:row r="22">
      <x:c r="A22" t="str">
        <x:v>Manchester</x:v>
      </x:c>
      <x:c r="B22" t="str">
        <x:v>Reading</x:v>
      </x:c>
      <x:c r="C22" t="str">
        <x:v>Hispanic</x:v>
      </x:c>
      <x:c r="D22" t="str">
        <x:v>1,655 - 1,660</x:v>
      </x:c>
      <x:c r="E22" t="str">
        <x:v>19</x:v>
      </x:c>
      <x:c r="F22" t="n">
        <x:v>95</x:v>
      </x:c>
      <x:c r="G22" t="str">
        <x:v>44</x:v>
      </x:c>
    </x:row>
    <x:row r="23">
      <x:c r="A23" t="str">
        <x:v>Manchester</x:v>
      </x:c>
      <x:c r="B23" t="str">
        <x:v>Reading</x:v>
      </x:c>
      <x:c r="C23" t="str">
        <x:v>Homeless</x:v>
      </x:c>
      <x:c r="D23" t="str">
        <x:v>250 - 255</x:v>
      </x:c>
      <x:c r="E23" t="str">
        <x:v>14</x:v>
      </x:c>
      <x:c r="F23" t="n">
        <x:v>91</x:v>
      </x:c>
      <x:c r="G23" t="str">
        <x:v>43</x:v>
      </x:c>
    </x:row>
    <x:row r="24">
      <x:c r="A24" t="str">
        <x:v>Manchester</x:v>
      </x:c>
      <x:c r="B24" t="str">
        <x:v>Reading</x:v>
      </x:c>
      <x:c r="C24" t="str">
        <x:v>IEP/SWD</x:v>
      </x:c>
      <x:c r="D24" t="str">
        <x:v>1,220 - 1,225</x:v>
      </x:c>
      <x:c r="E24" t="str">
        <x:v>&lt; 10 %</x:v>
      </x:c>
      <x:c r="F24" t="n">
        <x:v>87</x:v>
      </x:c>
      <x:c r="G24" t="str">
        <x:v>38</x:v>
      </x:c>
    </x:row>
    <x:row r="25">
      <x:c r="A25" t="str">
        <x:v>Manchester</x:v>
      </x:c>
      <x:c r="B25" t="str">
        <x:v>Reading</x:v>
      </x:c>
      <x:c r="C25" t="str">
        <x:v>Male</x:v>
      </x:c>
      <x:c r="D25" t="str">
        <x:v>2,830 - 2,835</x:v>
      </x:c>
      <x:c r="E25" t="str">
        <x:v>26</x:v>
      </x:c>
      <x:c r="F25" t="n">
        <x:v>93</x:v>
      </x:c>
      <x:c r="G25" t="str">
        <x:v>43</x:v>
      </x:c>
    </x:row>
    <x:row r="26">
      <x:c r="A26" t="str">
        <x:v>Manchester</x:v>
      </x:c>
      <x:c r="B26" t="str">
        <x:v>Reading</x:v>
      </x:c>
      <x:c r="C26" t="str">
        <x:v>SES</x:v>
      </x:c>
      <x:c r="D26" t="str">
        <x:v>3,035 - 3,040</x:v>
      </x:c>
      <x:c r="E26" t="str">
        <x:v>20</x:v>
      </x:c>
      <x:c r="F26" t="n">
        <x:v>93</x:v>
      </x:c>
      <x:c r="G26" t="str">
        <x:v>43</x:v>
      </x:c>
    </x:row>
    <x:row r="27">
      <x:c r="A27" t="str">
        <x:v>Manchester</x:v>
      </x:c>
      <x:c r="B27" t="str">
        <x:v>Reading</x:v>
      </x:c>
      <x:c r="C27" t="str">
        <x:v>White</x:v>
      </x:c>
      <x:c r="D27" t="str">
        <x:v>2,700 - 2,705</x:v>
      </x:c>
      <x:c r="E27" t="str">
        <x:v>36</x:v>
      </x:c>
      <x:c r="F27" t="n">
        <x:v>94</x:v>
      </x:c>
      <x:c r="G27" t="str">
        <x:v>45</x:v>
      </x:c>
    </x:row>
    <x:row r="28">
      <x:c r="A28" t="str">
        <x:v>Manchester</x:v>
      </x:c>
      <x:c r="B28" t="str">
        <x:v>Science</x:v>
      </x:c>
      <x:c r="C28" t="str">
        <x:v>All students</x:v>
      </x:c>
      <x:c r="D28" t="str">
        <x:v>2,160 - 2,165</x:v>
      </x:c>
      <x:c r="E28" t="str">
        <x:v>15</x:v>
      </x:c>
      <x:c r="F28" t="n">
        <x:v>88</x:v>
      </x:c>
      <x:c r="G28" t="str">
        <x:v>* n &lt; 11</x:v>
      </x:c>
    </x:row>
    <x:row r="29">
      <x:c r="A29" t="str">
        <x:v>Manchester</x:v>
      </x:c>
      <x:c r="B29" t="str">
        <x:v>Science</x:v>
      </x:c>
      <x:c r="C29" t="str">
        <x:v>Asian+PI+Hawaiian</x:v>
      </x:c>
      <x:c r="D29" t="str">
        <x:v>85 - 90</x:v>
      </x:c>
      <x:c r="E29" t="str">
        <x:v>31</x:v>
      </x:c>
      <x:c r="F29" t="n">
        <x:v>92</x:v>
      </x:c>
      <x:c r="G29" t="str">
        <x:v>* n &lt; 11</x:v>
      </x:c>
    </x:row>
    <x:row r="30">
      <x:c r="A30" t="str">
        <x:v>Manchester</x:v>
      </x:c>
      <x:c r="B30" t="str">
        <x:v>Science</x:v>
      </x:c>
      <x:c r="C30" t="str">
        <x:v>Black</x:v>
      </x:c>
      <x:c r="D30" t="str">
        <x:v>235 - 240</x:v>
      </x:c>
      <x:c r="E30" t="str">
        <x:v>&lt; 10 %</x:v>
      </x:c>
      <x:c r="F30" t="n">
        <x:v>88</x:v>
      </x:c>
      <x:c r="G30" t="str">
        <x:v>* n &lt; 11</x:v>
      </x:c>
    </x:row>
    <x:row r="31">
      <x:c r="A31" t="str">
        <x:v>Manchester</x:v>
      </x:c>
      <x:c r="B31" t="str">
        <x:v>Science</x:v>
      </x:c>
      <x:c r="C31" t="str">
        <x:v>EL - Current</x:v>
      </x:c>
      <x:c r="D31" t="str">
        <x:v>385 - 390</x:v>
      </x:c>
      <x:c r="E31" t="str">
        <x:v>&lt; 10 %</x:v>
      </x:c>
      <x:c r="F31" t="n">
        <x:v>89</x:v>
      </x:c>
      <x:c r="G31" t="str">
        <x:v>* n &lt; 11</x:v>
      </x:c>
    </x:row>
    <x:row r="32">
      <x:c r="A32" t="str">
        <x:v>Manchester</x:v>
      </x:c>
      <x:c r="B32" t="str">
        <x:v>Science</x:v>
      </x:c>
      <x:c r="C32" t="str">
        <x:v>Female</x:v>
      </x:c>
      <x:c r="D32" t="str">
        <x:v>1,040 - 1,045</x:v>
      </x:c>
      <x:c r="E32" t="str">
        <x:v>14</x:v>
      </x:c>
      <x:c r="F32" t="n">
        <x:v>90</x:v>
      </x:c>
      <x:c r="G32" t="str">
        <x:v>* n &lt; 11</x:v>
      </x:c>
    </x:row>
    <x:row r="33">
      <x:c r="A33" t="str">
        <x:v>Manchester</x:v>
      </x:c>
      <x:c r="B33" t="str">
        <x:v>Science</x:v>
      </x:c>
      <x:c r="C33" t="str">
        <x:v>Hispanic</x:v>
      </x:c>
      <x:c r="D33" t="str">
        <x:v>640 - 645</x:v>
      </x:c>
      <x:c r="E33" t="str">
        <x:v>&lt; 10 %</x:v>
      </x:c>
      <x:c r="F33" t="n">
        <x:v>87</x:v>
      </x:c>
      <x:c r="G33" t="str">
        <x:v>* n &lt; 11</x:v>
      </x:c>
    </x:row>
    <x:row r="34">
      <x:c r="A34" t="str">
        <x:v>Manchester</x:v>
      </x:c>
      <x:c r="B34" t="str">
        <x:v>Science</x:v>
      </x:c>
      <x:c r="C34" t="str">
        <x:v>Homeless</x:v>
      </x:c>
      <x:c r="D34" t="str">
        <x:v>100 - 105</x:v>
      </x:c>
      <x:c r="E34" t="str">
        <x:v>&lt; 10 %</x:v>
      </x:c>
      <x:c r="F34" t="n">
        <x:v>81</x:v>
      </x:c>
      <x:c r="G34" t="str">
        <x:v>* n &lt; 11</x:v>
      </x:c>
    </x:row>
    <x:row r="35">
      <x:c r="A35" t="str">
        <x:v>Manchester</x:v>
      </x:c>
      <x:c r="B35" t="str">
        <x:v>Science</x:v>
      </x:c>
      <x:c r="C35" t="str">
        <x:v>IEP/SWD</x:v>
      </x:c>
      <x:c r="D35" t="str">
        <x:v>420 - 425</x:v>
      </x:c>
      <x:c r="E35" t="str">
        <x:v>&lt; 10 %</x:v>
      </x:c>
      <x:c r="F35" t="n">
        <x:v>77</x:v>
      </x:c>
      <x:c r="G35" t="str">
        <x:v>* n &lt; 11</x:v>
      </x:c>
    </x:row>
    <x:row r="36">
      <x:c r="A36" t="str">
        <x:v>Manchester</x:v>
      </x:c>
      <x:c r="B36" t="str">
        <x:v>Science</x:v>
      </x:c>
      <x:c r="C36" t="str">
        <x:v>Male</x:v>
      </x:c>
      <x:c r="D36" t="str">
        <x:v>1,120 - 1,125</x:v>
      </x:c>
      <x:c r="E36" t="str">
        <x:v>16</x:v>
      </x:c>
      <x:c r="F36" t="n">
        <x:v>87</x:v>
      </x:c>
      <x:c r="G36" t="str">
        <x:v>* n &lt; 11</x:v>
      </x:c>
    </x:row>
    <x:row r="37">
      <x:c r="A37" t="str">
        <x:v>Manchester</x:v>
      </x:c>
      <x:c r="B37" t="str">
        <x:v>Science</x:v>
      </x:c>
      <x:c r="C37" t="str">
        <x:v>SES</x:v>
      </x:c>
      <x:c r="D37" t="str">
        <x:v>1,140 - 1,145</x:v>
      </x:c>
      <x:c r="E37" t="str">
        <x:v>&lt; 10 %</x:v>
      </x:c>
      <x:c r="F37" t="n">
        <x:v>86</x:v>
      </x:c>
      <x:c r="G37" t="str">
        <x:v>* n &lt; 11</x:v>
      </x:c>
    </x:row>
    <x:row r="38">
      <x:c r="A38" t="str">
        <x:v>Manchester</x:v>
      </x:c>
      <x:c r="B38" t="str">
        <x:v>Science</x:v>
      </x:c>
      <x:c r="C38" t="str">
        <x:v>White</x:v>
      </x:c>
      <x:c r="D38" t="str">
        <x:v>1,075 - 1,080</x:v>
      </x:c>
      <x:c r="E38" t="str">
        <x:v>18</x:v>
      </x:c>
      <x:c r="F38" t="n">
        <x:v>89</x:v>
      </x:c>
      <x:c r="G38" t="str">
        <x:v>* n &lt; 11</x:v>
      </x:c>
    </x:row>
    <x:row r="39">
      <x:c r="A39" t="str">
        <x:v>New Hampshire</x:v>
      </x:c>
      <x:c r="B39" t="str">
        <x:v>Mathematics</x:v>
      </x:c>
      <x:c r="C39" t="str">
        <x:v>All students</x:v>
      </x:c>
      <x:c r="D39" t="str">
        <x:v>79,505 - 79,510</x:v>
      </x:c>
      <x:c r="E39" t="str">
        <x:v>41</x:v>
      </x:c>
      <x:c r="F39" t="n">
        <x:v>95</x:v>
      </x:c>
      <x:c r="G39" t="str">
        <x:v>50</x:v>
      </x:c>
    </x:row>
    <x:row r="40">
      <x:c r="A40" t="str">
        <x:v>New Hampshire</x:v>
      </x:c>
      <x:c r="B40" t="str">
        <x:v>Mathematics</x:v>
      </x:c>
      <x:c r="C40" t="str">
        <x:v>Asian+PI+Hawaiian</x:v>
      </x:c>
      <x:c r="D40" t="str">
        <x:v>2,505 - 2,510</x:v>
      </x:c>
      <x:c r="E40" t="str">
        <x:v>64</x:v>
      </x:c>
      <x:c r="F40" t="n">
        <x:v>97</x:v>
      </x:c>
      <x:c r="G40" t="str">
        <x:v>57</x:v>
      </x:c>
    </x:row>
    <x:row r="41">
      <x:c r="A41" t="str">
        <x:v>New Hampshire</x:v>
      </x:c>
      <x:c r="B41" t="str">
        <x:v>Mathematics</x:v>
      </x:c>
      <x:c r="C41" t="str">
        <x:v>Black</x:v>
      </x:c>
      <x:c r="D41" t="str">
        <x:v>1,515 - 1,520</x:v>
      </x:c>
      <x:c r="E41" t="str">
        <x:v>21</x:v>
      </x:c>
      <x:c r="F41" t="n">
        <x:v>95</x:v>
      </x:c>
      <x:c r="G41" t="str">
        <x:v>47</x:v>
      </x:c>
    </x:row>
    <x:row r="42">
      <x:c r="A42" t="str">
        <x:v>New Hampshire</x:v>
      </x:c>
      <x:c r="B42" t="str">
        <x:v>Mathematics</x:v>
      </x:c>
      <x:c r="C42" t="str">
        <x:v>EL - Current</x:v>
      </x:c>
      <x:c r="D42" t="str">
        <x:v>2,385 - 2,390</x:v>
      </x:c>
      <x:c r="E42" t="str">
        <x:v>12</x:v>
      </x:c>
      <x:c r="F42" t="n">
        <x:v>94</x:v>
      </x:c>
      <x:c r="G42" t="str">
        <x:v>48</x:v>
      </x:c>
    </x:row>
    <x:row r="43">
      <x:c r="A43" t="str">
        <x:v>New Hampshire</x:v>
      </x:c>
      <x:c r="B43" t="str">
        <x:v>Mathematics</x:v>
      </x:c>
      <x:c r="C43" t="str">
        <x:v>Female</x:v>
      </x:c>
      <x:c r="D43" t="str">
        <x:v>38,490 - 38,495</x:v>
      </x:c>
      <x:c r="E43" t="str">
        <x:v>39</x:v>
      </x:c>
      <x:c r="F43" t="n">
        <x:v>95</x:v>
      </x:c>
      <x:c r="G43" t="str">
        <x:v>50</x:v>
      </x:c>
    </x:row>
    <x:row r="44">
      <x:c r="A44" t="str">
        <x:v>New Hampshire</x:v>
      </x:c>
      <x:c r="B44" t="str">
        <x:v>Mathematics</x:v>
      </x:c>
      <x:c r="C44" t="str">
        <x:v>Hispanic</x:v>
      </x:c>
      <x:c r="D44" t="str">
        <x:v>6,430 - 6,435</x:v>
      </x:c>
      <x:c r="E44" t="str">
        <x:v>25</x:v>
      </x:c>
      <x:c r="F44" t="n">
        <x:v>93</x:v>
      </x:c>
      <x:c r="G44" t="str">
        <x:v>48</x:v>
      </x:c>
    </x:row>
    <x:row r="45">
      <x:c r="A45" t="str">
        <x:v>New Hampshire</x:v>
      </x:c>
      <x:c r="B45" t="str">
        <x:v>Mathematics</x:v>
      </x:c>
      <x:c r="C45" t="str">
        <x:v>Homeless</x:v>
      </x:c>
      <x:c r="D45" t="str">
        <x:v>1,285 - 1,290</x:v>
      </x:c>
      <x:c r="E45" t="str">
        <x:v>17</x:v>
      </x:c>
      <x:c r="F45" t="n">
        <x:v>92</x:v>
      </x:c>
      <x:c r="G45" t="str">
        <x:v>46</x:v>
      </x:c>
    </x:row>
    <x:row r="46">
      <x:c r="A46" t="str">
        <x:v>New Hampshire</x:v>
      </x:c>
      <x:c r="B46" t="str">
        <x:v>Mathematics</x:v>
      </x:c>
      <x:c r="C46" t="str">
        <x:v>IEP/SWD</x:v>
      </x:c>
      <x:c r="D46" t="str">
        <x:v>15,470 - 15,475</x:v>
      </x:c>
      <x:c r="E46" t="str">
        <x:v>13</x:v>
      </x:c>
      <x:c r="F46" t="n">
        <x:v>88</x:v>
      </x:c>
      <x:c r="G46" t="str">
        <x:v>45</x:v>
      </x:c>
    </x:row>
    <x:row r="47">
      <x:c r="A47" t="str">
        <x:v>New Hampshire</x:v>
      </x:c>
      <x:c r="B47" t="str">
        <x:v>Mathematics</x:v>
      </x:c>
      <x:c r="C47" t="str">
        <x:v>Male</x:v>
      </x:c>
      <x:c r="D47" t="str">
        <x:v>41,015 - 41,020</x:v>
      </x:c>
      <x:c r="E47" t="str">
        <x:v>44</x:v>
      </x:c>
      <x:c r="F47" t="n">
        <x:v>95</x:v>
      </x:c>
      <x:c r="G47" t="str">
        <x:v>50</x:v>
      </x:c>
    </x:row>
    <x:row r="48">
      <x:c r="A48" t="str">
        <x:v>New Hampshire</x:v>
      </x:c>
      <x:c r="B48" t="str">
        <x:v>Mathematics</x:v>
      </x:c>
      <x:c r="C48" t="str">
        <x:v>SES</x:v>
      </x:c>
      <x:c r="D48" t="str">
        <x:v>20,510 - 20,515</x:v>
      </x:c>
      <x:c r="E48" t="str">
        <x:v>22</x:v>
      </x:c>
      <x:c r="F48" t="n">
        <x:v>93</x:v>
      </x:c>
      <x:c r="G48" t="str">
        <x:v>47</x:v>
      </x:c>
    </x:row>
    <x:row r="49">
      <x:c r="A49" t="str">
        <x:v>New Hampshire</x:v>
      </x:c>
      <x:c r="B49" t="str">
        <x:v>Mathematics</x:v>
      </x:c>
      <x:c r="C49" t="str">
        <x:v>White</x:v>
      </x:c>
      <x:c r="D49" t="str">
        <x:v>65,915 - 65,920</x:v>
      </x:c>
      <x:c r="E49" t="str">
        <x:v>43</x:v>
      </x:c>
      <x:c r="F49" t="n">
        <x:v>95</x:v>
      </x:c>
      <x:c r="G49" t="str">
        <x:v>50</x:v>
      </x:c>
    </x:row>
    <x:row r="50">
      <x:c r="A50" t="str">
        <x:v>New Hampshire</x:v>
      </x:c>
      <x:c r="B50" t="str">
        <x:v>Reading</x:v>
      </x:c>
      <x:c r="C50" t="str">
        <x:v>All students</x:v>
      </x:c>
      <x:c r="D50" t="str">
        <x:v>79,045 - 79,050</x:v>
      </x:c>
      <x:c r="E50" t="str">
        <x:v>53</x:v>
      </x:c>
      <x:c r="F50" t="n">
        <x:v>94</x:v>
      </x:c>
      <x:c r="G50" t="str">
        <x:v>50</x:v>
      </x:c>
    </x:row>
    <x:row r="51">
      <x:c r="A51" t="str">
        <x:v>New Hampshire</x:v>
      </x:c>
      <x:c r="B51" t="str">
        <x:v>Reading</x:v>
      </x:c>
      <x:c r="C51" t="str">
        <x:v>Asian+PI+Hawaiian</x:v>
      </x:c>
      <x:c r="D51" t="str">
        <x:v>2,480 - 2,485</x:v>
      </x:c>
      <x:c r="E51" t="str">
        <x:v>69</x:v>
      </x:c>
      <x:c r="F51" t="n">
        <x:v>97</x:v>
      </x:c>
      <x:c r="G51" t="str">
        <x:v>54</x:v>
      </x:c>
    </x:row>
    <x:row r="52">
      <x:c r="A52" t="str">
        <x:v>New Hampshire</x:v>
      </x:c>
      <x:c r="B52" t="str">
        <x:v>Reading</x:v>
      </x:c>
      <x:c r="C52" t="str">
        <x:v>Black</x:v>
      </x:c>
      <x:c r="D52" t="str">
        <x:v>1,500 - 1,505</x:v>
      </x:c>
      <x:c r="E52" t="str">
        <x:v>33</x:v>
      </x:c>
      <x:c r="F52" t="n">
        <x:v>95</x:v>
      </x:c>
      <x:c r="G52" t="str">
        <x:v>48</x:v>
      </x:c>
    </x:row>
    <x:row r="53">
      <x:c r="A53" t="str">
        <x:v>New Hampshire</x:v>
      </x:c>
      <x:c r="B53" t="str">
        <x:v>Reading</x:v>
      </x:c>
      <x:c r="C53" t="str">
        <x:v>EL - Current</x:v>
      </x:c>
      <x:c r="D53" t="str">
        <x:v>2,265 - 2,270</x:v>
      </x:c>
      <x:c r="E53" t="str">
        <x:v>10</x:v>
      </x:c>
      <x:c r="F53" t="n">
        <x:v>93</x:v>
      </x:c>
      <x:c r="G53" t="str">
        <x:v>45</x:v>
      </x:c>
    </x:row>
    <x:row r="54">
      <x:c r="A54" t="str">
        <x:v>New Hampshire</x:v>
      </x:c>
      <x:c r="B54" t="str">
        <x:v>Reading</x:v>
      </x:c>
      <x:c r="C54" t="str">
        <x:v>Female</x:v>
      </x:c>
      <x:c r="D54" t="str">
        <x:v>38,290 - 38,295</x:v>
      </x:c>
      <x:c r="E54" t="str">
        <x:v>58</x:v>
      </x:c>
      <x:c r="F54" t="n">
        <x:v>95</x:v>
      </x:c>
      <x:c r="G54" t="str">
        <x:v>52</x:v>
      </x:c>
    </x:row>
    <x:row r="55">
      <x:c r="A55" t="str">
        <x:v>New Hampshire</x:v>
      </x:c>
      <x:c r="B55" t="str">
        <x:v>Reading</x:v>
      </x:c>
      <x:c r="C55" t="str">
        <x:v>Hispanic</x:v>
      </x:c>
      <x:c r="D55" t="str">
        <x:v>6,345 - 6,350</x:v>
      </x:c>
      <x:c r="E55" t="str">
        <x:v>36</x:v>
      </x:c>
      <x:c r="F55" t="n">
        <x:v>93</x:v>
      </x:c>
      <x:c r="G55" t="str">
        <x:v>48</x:v>
      </x:c>
    </x:row>
    <x:row r="56">
      <x:c r="A56" t="str">
        <x:v>New Hampshire</x:v>
      </x:c>
      <x:c r="B56" t="str">
        <x:v>Reading</x:v>
      </x:c>
      <x:c r="C56" t="str">
        <x:v>Homeless</x:v>
      </x:c>
      <x:c r="D56" t="str">
        <x:v>1,250 - 1,255</x:v>
      </x:c>
      <x:c r="E56" t="str">
        <x:v>25</x:v>
      </x:c>
      <x:c r="F56" t="n">
        <x:v>91</x:v>
      </x:c>
      <x:c r="G56" t="str">
        <x:v>46</x:v>
      </x:c>
    </x:row>
    <x:row r="57">
      <x:c r="A57" t="str">
        <x:v>New Hampshire</x:v>
      </x:c>
      <x:c r="B57" t="str">
        <x:v>Reading</x:v>
      </x:c>
      <x:c r="C57" t="str">
        <x:v>IEP/SWD</x:v>
      </x:c>
      <x:c r="D57" t="str">
        <x:v>15,305 - 15,310</x:v>
      </x:c>
      <x:c r="E57" t="str">
        <x:v>18</x:v>
      </x:c>
      <x:c r="F57" t="n">
        <x:v>87</x:v>
      </x:c>
      <x:c r="G57" t="str">
        <x:v>45</x:v>
      </x:c>
    </x:row>
    <x:row r="58">
      <x:c r="A58" t="str">
        <x:v>New Hampshire</x:v>
      </x:c>
      <x:c r="B58" t="str">
        <x:v>Reading</x:v>
      </x:c>
      <x:c r="C58" t="str">
        <x:v>Male</x:v>
      </x:c>
      <x:c r="D58" t="str">
        <x:v>40,755 - 40,760</x:v>
      </x:c>
      <x:c r="E58" t="str">
        <x:v>49</x:v>
      </x:c>
      <x:c r="F58" t="n">
        <x:v>94</x:v>
      </x:c>
      <x:c r="G58" t="str">
        <x:v>48</x:v>
      </x:c>
    </x:row>
    <x:row r="59">
      <x:c r="A59" t="str">
        <x:v>New Hampshire</x:v>
      </x:c>
      <x:c r="B59" t="str">
        <x:v>Reading</x:v>
      </x:c>
      <x:c r="C59" t="str">
        <x:v>SES</x:v>
      </x:c>
      <x:c r="D59" t="str">
        <x:v>20,315 - 20,320</x:v>
      </x:c>
      <x:c r="E59" t="str">
        <x:v>33</x:v>
      </x:c>
      <x:c r="F59" t="n">
        <x:v>92</x:v>
      </x:c>
      <x:c r="G59" t="str">
        <x:v>47</x:v>
      </x:c>
    </x:row>
    <x:row r="60">
      <x:c r="A60" t="str">
        <x:v>New Hampshire</x:v>
      </x:c>
      <x:c r="B60" t="str">
        <x:v>Reading</x:v>
      </x:c>
      <x:c r="C60" t="str">
        <x:v>White</x:v>
      </x:c>
      <x:c r="D60" t="str">
        <x:v>65,610 - 65,615</x:v>
      </x:c>
      <x:c r="E60" t="str">
        <x:v>55</x:v>
      </x:c>
      <x:c r="F60" t="n">
        <x:v>95</x:v>
      </x:c>
      <x:c r="G60" t="str">
        <x:v>50</x:v>
      </x:c>
    </x:row>
    <x:row r="61">
      <x:c r="A61" t="str">
        <x:v>New Hampshire</x:v>
      </x:c>
      <x:c r="B61" t="str">
        <x:v>Science</x:v>
      </x:c>
      <x:c r="C61" t="str">
        <x:v>All students</x:v>
      </x:c>
      <x:c r="D61" t="str">
        <x:v>32,420 - 32,425</x:v>
      </x:c>
      <x:c r="E61" t="str">
        <x:v>36</x:v>
      </x:c>
      <x:c r="F61" t="n">
        <x:v>89</x:v>
      </x:c>
      <x:c r="G61" t="str">
        <x:v>* n &lt; 11</x:v>
      </x:c>
    </x:row>
    <x:row r="62">
      <x:c r="A62" t="str">
        <x:v>New Hampshire</x:v>
      </x:c>
      <x:c r="B62" t="str">
        <x:v>Science</x:v>
      </x:c>
      <x:c r="C62" t="str">
        <x:v>Asian+PI+Hawaiian</x:v>
      </x:c>
      <x:c r="D62" t="str">
        <x:v>1,070 - 1,075</x:v>
      </x:c>
      <x:c r="E62" t="str">
        <x:v>50</x:v>
      </x:c>
      <x:c r="F62" t="n">
        <x:v>93</x:v>
      </x:c>
      <x:c r="G62" t="str">
        <x:v>* n &lt; 11</x:v>
      </x:c>
    </x:row>
    <x:row r="63">
      <x:c r="A63" t="str">
        <x:v>New Hampshire</x:v>
      </x:c>
      <x:c r="B63" t="str">
        <x:v>Science</x:v>
      </x:c>
      <x:c r="C63" t="str">
        <x:v>Black</x:v>
      </x:c>
      <x:c r="D63" t="str">
        <x:v>625 - 630</x:v>
      </x:c>
      <x:c r="E63" t="str">
        <x:v>18</x:v>
      </x:c>
      <x:c r="F63" t="n">
        <x:v>90</x:v>
      </x:c>
      <x:c r="G63" t="str">
        <x:v>* n &lt; 11</x:v>
      </x:c>
    </x:row>
    <x:row r="64">
      <x:c r="A64" t="str">
        <x:v>New Hampshire</x:v>
      </x:c>
      <x:c r="B64" t="str">
        <x:v>Science</x:v>
      </x:c>
      <x:c r="C64" t="str">
        <x:v>EL - Current</x:v>
      </x:c>
      <x:c r="D64" t="str">
        <x:v>840 - 845</x:v>
      </x:c>
      <x:c r="E64" t="str">
        <x:v>&lt; 10 %</x:v>
      </x:c>
      <x:c r="F64" t="n">
        <x:v>84</x:v>
      </x:c>
      <x:c r="G64" t="str">
        <x:v>* n &lt; 11</x:v>
      </x:c>
    </x:row>
    <x:row r="65">
      <x:c r="A65" t="str">
        <x:v>New Hampshire</x:v>
      </x:c>
      <x:c r="B65" t="str">
        <x:v>Science</x:v>
      </x:c>
      <x:c r="C65" t="str">
        <x:v>Female</x:v>
      </x:c>
      <x:c r="D65" t="str">
        <x:v>15,555 - 15,560</x:v>
      </x:c>
      <x:c r="E65" t="str">
        <x:v>36</x:v>
      </x:c>
      <x:c r="F65" t="n">
        <x:v>89</x:v>
      </x:c>
      <x:c r="G65" t="str">
        <x:v>* n &lt; 11</x:v>
      </x:c>
    </x:row>
    <x:row r="66">
      <x:c r="A66" t="str">
        <x:v>New Hampshire</x:v>
      </x:c>
      <x:c r="B66" t="str">
        <x:v>Science</x:v>
      </x:c>
      <x:c r="C66" t="str">
        <x:v>Hispanic</x:v>
      </x:c>
      <x:c r="D66" t="str">
        <x:v>2,495 - 2,500</x:v>
      </x:c>
      <x:c r="E66" t="str">
        <x:v>22</x:v>
      </x:c>
      <x:c r="F66" t="n">
        <x:v>85</x:v>
      </x:c>
      <x:c r="G66" t="str">
        <x:v>* n &lt; 11</x:v>
      </x:c>
    </x:row>
    <x:row r="67">
      <x:c r="A67" t="str">
        <x:v>New Hampshire</x:v>
      </x:c>
      <x:c r="B67" t="str">
        <x:v>Science</x:v>
      </x:c>
      <x:c r="C67" t="str">
        <x:v>Homeless</x:v>
      </x:c>
      <x:c r="D67" t="str">
        <x:v>515 - 520</x:v>
      </x:c>
      <x:c r="E67" t="str">
        <x:v>17</x:v>
      </x:c>
      <x:c r="F67" t="n">
        <x:v>84</x:v>
      </x:c>
      <x:c r="G67" t="str">
        <x:v>* n &lt; 11</x:v>
      </x:c>
    </x:row>
    <x:row r="68">
      <x:c r="A68" t="str">
        <x:v>New Hampshire</x:v>
      </x:c>
      <x:c r="B68" t="str">
        <x:v>Science</x:v>
      </x:c>
      <x:c r="C68" t="str">
        <x:v>IEP/SWD</x:v>
      </x:c>
      <x:c r="D68" t="str">
        <x:v>5,725 - 5,730</x:v>
      </x:c>
      <x:c r="E68" t="str">
        <x:v>12</x:v>
      </x:c>
      <x:c r="F68" t="n">
        <x:v>81</x:v>
      </x:c>
      <x:c r="G68" t="str">
        <x:v>* n &lt; 11</x:v>
      </x:c>
    </x:row>
    <x:row r="69">
      <x:c r="A69" t="str">
        <x:v>New Hampshire</x:v>
      </x:c>
      <x:c r="B69" t="str">
        <x:v>Science</x:v>
      </x:c>
      <x:c r="C69" t="str">
        <x:v>Male</x:v>
      </x:c>
      <x:c r="D69" t="str">
        <x:v>16,865 - 16,870</x:v>
      </x:c>
      <x:c r="E69" t="str">
        <x:v>37</x:v>
      </x:c>
      <x:c r="F69" t="n">
        <x:v>90</x:v>
      </x:c>
      <x:c r="G69" t="str">
        <x:v>* n &lt; 11</x:v>
      </x:c>
    </x:row>
    <x:row r="70">
      <x:c r="A70" t="str">
        <x:v>New Hampshire</x:v>
      </x:c>
      <x:c r="B70" t="str">
        <x:v>Science</x:v>
      </x:c>
      <x:c r="C70" t="str">
        <x:v>SES</x:v>
      </x:c>
      <x:c r="D70" t="str">
        <x:v>7,725 - 7,730</x:v>
      </x:c>
      <x:c r="E70" t="str">
        <x:v>20</x:v>
      </x:c>
      <x:c r="F70" t="n">
        <x:v>85</x:v>
      </x:c>
      <x:c r="G70" t="str">
        <x:v>* n &lt; 11</x:v>
      </x:c>
    </x:row>
    <x:row r="71">
      <x:c r="A71" t="str">
        <x:v>New Hampshire</x:v>
      </x:c>
      <x:c r="B71" t="str">
        <x:v>Science</x:v>
      </x:c>
      <x:c r="C71" t="str">
        <x:v>White</x:v>
      </x:c>
      <x:c r="D71" t="str">
        <x:v>27,015 - 27,020</x:v>
      </x:c>
      <x:c r="E71" t="str">
        <x:v>38</x:v>
      </x:c>
      <x:c r="F71" t="n">
        <x:v>90</x:v>
      </x:c>
      <x:c r="G71" t="str">
        <x:v>* n &lt; 11</x:v>
      </x:c>
    </x:row>
  </x:sheetData>
  <x:mergeCells>
    <x:mergeCell ref="A1:G2"/>
    <x:mergeCell ref="A3:G3"/>
  </x:mergeCells>
  <x:pageMargins left="0.7" right="0.7" top="0.75" bottom="0.75" header="0.3" footer="0.3"/>
  <x:tableParts count="1">
    <x:tablePart xmlns:r="http://schemas.openxmlformats.org/officeDocument/2006/relationships" r:id="Rdb67a3835a2347b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2" hidden="0" customWidth="1"/>
    <x:col min="2" max="2" width="38" hidden="0" customWidth="1"/>
    <x:col min="3" max="3" width="45" hidden="0" customWidth="1"/>
    <x:col min="4" max="4" width="45" hidden="0" customWidth="1"/>
  </x:cols>
  <x:sheetData>
    <x:row r="1">
      <x:c r="A1" s="3" t="str">
        <x:v>Evidence-Informed Recommendations</x:v>
      </x:c>
      <x:c r="B1" s="3"/>
      <x:c r="C1" s="3"/>
      <x:c r="D1" s="3"/>
      <x:c r="E1" s="3"/>
      <x:c r="F1" s="3"/>
      <x:c r="G1" s="3"/>
      <x:c r="H1" s="3"/>
    </x:row>
    <x:row r="2">
      <x:c r="A2" s="3"/>
      <x:c r="B2" s="3"/>
      <x:c r="C2" s="3"/>
      <x:c r="D2" s="3"/>
      <x:c r="E2" s="3"/>
      <x:c r="F2" s="3"/>
      <x:c r="G2" s="3"/>
      <x:c r="H2" s="3"/>
    </x:row>
    <x:row r="3">
      <x:c r="A3" s="6" t="str">
        <x:v>A practical framework for City Year Manchester planning, monitoring, and stakeholder conversations.</x:v>
      </x:c>
      <x:c r="B3" s="6"/>
      <x:c r="C3" s="6"/>
      <x:c r="D3" s="6"/>
      <x:c r="E3" s="6"/>
      <x:c r="F3" s="6"/>
      <x:c r="G3" s="6"/>
      <x:c r="H3" s="6"/>
    </x:row>
    <x:row r="5">
      <x:c r="A5" s="73" t="str">
        <x:v>Priority</x:v>
      </x:c>
      <x:c r="B5" s="74" t="str">
        <x:v>Evidence</x:v>
      </x:c>
      <x:c r="C5" s="74" t="str">
        <x:v>Recommended response</x:v>
      </x:c>
      <x:c r="D5" s="75" t="str">
        <x:v>Measurement guardrail</x:v>
      </x:c>
    </x:row>
    <x:row r="6" ht="72" customHeight="1">
      <x:c r="A6" s="132" t="str">
        <x:v>Math acceleration</x:v>
      </x:c>
      <x:c r="B6" s="133" t="str">
        <x:v>Manchester math proficiency was 19% in 2024, 22 points below the state.</x:v>
      </x:c>
      <x:c r="C6" s="133" t="str">
        <x:v>Target high-dosage tutoring and classroom-aligned practice; coordinate with teachers on priority standards.</x:v>
      </x:c>
      <x:c r="D6" s="134" t="str">
        <x:v>Track participation, short-cycle skill growth, and implementation dosage—not proficiency alone.</x:v>
      </x:c>
    </x:row>
    <x:row r="7" ht="72" customHeight="1">
      <x:c r="A7" s="135" t="str">
        <x:v>Literacy support</x:v>
      </x:c>
      <x:c r="B7" s="136" t="str">
        <x:v>Reading proficiency was 29%, 24 points below the state despite a 1-point improvement since 2022.</x:v>
      </x:c>
      <x:c r="C7" s="136" t="str">
        <x:v>Pair tutoring with attendance and engagement supports; differentiate by grade and learner need.</x:v>
      </x:c>
      <x:c r="D7" s="137" t="str">
        <x:v>Use growth and attendance trends; avoid attributing change to one intervention without comparison evidence.</x:v>
      </x:c>
    </x:row>
    <x:row r="8" ht="72" customHeight="1">
      <x:c r="A8" s="135" t="str">
        <x:v>High-need learners</x:v>
      </x:c>
      <x:c r="B8" s="136" t="str">
        <x:v>Several Manchester groups had proficiency reported below 10%; exact values were suppressed.</x:v>
      </x:c>
      <x:c r="C8" s="136" t="str">
        <x:v>Strengthen relationship-based, inclusive supports for multilingual learners, students with disabilities, and students experiencing housing instability.</x:v>
      </x:c>
      <x:c r="D8" s="137" t="str">
        <x:v>Protect suppression; never estimate or rank small groups from bounded public values.</x:v>
      </x:c>
    </x:row>
    <x:row r="9" ht="72" customHeight="1">
      <x:c r="A9" s="135" t="str">
        <x:v>Attendance integration</x:v>
      </x:c>
      <x:c r="B9" s="136" t="str">
        <x:v>The original market study found Manchester attendance recovering but below several comparison districts.</x:v>
      </x:c>
      <x:c r="C9" s="136" t="str">
        <x:v>Integrate attendance outreach with academic supports and family engagement.</x:v>
      </x:c>
      <x:c r="D9" s="137" t="str">
        <x:v>Revalidate attendance figures from the latest NH DOE release before operational use.</x:v>
      </x:c>
    </x:row>
    <x:row r="10" ht="72" customHeight="1">
      <x:c r="A10" s="138" t="str">
        <x:v>Evaluation design</x:v>
      </x:c>
      <x:c r="B10" s="139" t="str">
        <x:v>Public descriptive data identifies need but cannot establish program impact.</x:v>
      </x:c>
      <x:c r="C10" s="139" t="str">
        <x:v>Define baseline, target population, service dosage, comparison logic, and review cadence before expansion.</x:v>
      </x:c>
      <x:c r="D10" s="140" t="str">
        <x:v>Predefine outcomes and document contextual changes that may affect results.</x:v>
      </x:c>
    </x:row>
  </x:sheetData>
  <x:mergeCells>
    <x:mergeCell ref="A1:H2"/>
    <x:mergeCell ref="A3:H3"/>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5" hidden="0" customWidth="1"/>
    <x:col min="2" max="2" width="95" hidden="0" customWidth="1"/>
  </x:cols>
  <x:sheetData>
    <x:row r="1">
      <x:c r="A1" s="3" t="str">
        <x:v>Methodology, Sources &amp; Credit</x:v>
      </x:c>
      <x:c r="B1" s="3"/>
      <x:c r="C1" s="3"/>
      <x:c r="D1" s="3"/>
      <x:c r="E1" s="3"/>
      <x:c r="F1" s="3"/>
      <x:c r="G1" s="3"/>
      <x:c r="H1" s="3"/>
    </x:row>
    <x:row r="2">
      <x:c r="A2" s="3"/>
      <x:c r="B2" s="3"/>
      <x:c r="C2" s="3"/>
      <x:c r="D2" s="3"/>
      <x:c r="E2" s="3"/>
      <x:c r="F2" s="3"/>
      <x:c r="G2" s="3"/>
      <x:c r="H2" s="3"/>
    </x:row>
    <x:row r="3">
      <x:c r="A3" s="6" t="str">
        <x:v>Transparent scope, data treatment, limitations, and collaborative attribution.</x:v>
      </x:c>
      <x:c r="B3" s="6"/>
      <x:c r="C3" s="6"/>
      <x:c r="D3" s="6"/>
      <x:c r="E3" s="6"/>
      <x:c r="F3" s="6"/>
      <x:c r="G3" s="6"/>
      <x:c r="H3" s="6"/>
    </x:row>
    <x:row r="5">
      <x:c r="A5" s="144" t="str">
        <x:v>Item</x:v>
      </x:c>
      <x:c r="B5" s="145" t="str">
        <x:v>Documentation</x:v>
      </x:c>
    </x:row>
    <x:row r="6" ht="40" customHeight="1">
      <x:c r="A6" s="146" t="str">
        <x:v>Research question</x:v>
      </x:c>
      <x:c r="B6" s="146" t="str">
        <x:v>How do Manchester's education outcomes and needs compare with statewide results and selected New Hampshire districts, and what priorities should City Year consider?</x:v>
      </x:c>
    </x:row>
    <x:row r="7" ht="40" customHeight="1">
      <x:c r="A7" s="146" t="str">
        <x:v>Core dataset</x:v>
      </x:c>
      <x:c r="B7" s="146" t="str">
        <x:v>239,110 assessment records compiled from NH DOE 2021-22, 2022-23, and 2023-24 disaggregated regular-denominator files.</x:v>
      </x:c>
    </x:row>
    <x:row r="8" ht="40" customHeight="1">
      <x:c r="A8" s="146" t="str">
        <x:v>Analysis scope</x:v>
      </x:c>
      <x:c r="B8" s="146" t="str">
        <x:v>District-level, all-grade proficiency, participation, and median growth; selected public subgroup comparisons for 2024.</x:v>
      </x:c>
    </x:row>
    <x:row r="9" ht="40" customHeight="1">
      <x:c r="A9" s="146" t="str">
        <x:v>Suppression</x:v>
      </x:c>
      <x:c r="B9" s="146" t="str">
        <x:v>Values such as &lt;10% and * n &lt; 11 are retained as reported. They are excluded from numeric calculations and are never imputed.</x:v>
      </x:c>
    </x:row>
    <x:row r="10" ht="40" customHeight="1">
      <x:c r="A10" s="146" t="str">
        <x:v>Comparison districts</x:v>
      </x:c>
      <x:c r="B10" s="146" t="str">
        <x:v>Nashua, Rochester, Concord, Bedford, Londonderry, and Portsmouth, reflecting the recovered project scope.</x:v>
      </x:c>
    </x:row>
    <x:row r="11" ht="40" customHeight="1">
      <x:c r="A11" s="146" t="str">
        <x:v>Primary sources</x:v>
      </x:c>
      <x:c r="B11" s="146" t="str">
        <x:v>https://www.education.nh.gov/data-reports</x:v>
      </x:c>
    </x:row>
    <x:row r="12" ht="40" customHeight="1">
      <x:c r="A12" s="146" t="str">
        <x:v>2021-22 file</x:v>
      </x:c>
      <x:c r="B12" s="146" t="str">
        <x:v>https://www.education.nh.gov/sites/g/files/ehbemt326/files/inline-documents/sonh/assessment22.xlsx</x:v>
      </x:c>
    </x:row>
    <x:row r="13" ht="40" customHeight="1">
      <x:c r="A13" s="146" t="str">
        <x:v>2022-23 file</x:v>
      </x:c>
      <x:c r="B13" s="146" t="str">
        <x:v>https://www.education.nh.gov/sites/g/files/ehbemt326/files/inline-documents/sonh/disaggregateddata2023.xlsx</x:v>
      </x:c>
    </x:row>
    <x:row r="14" ht="40" customHeight="1">
      <x:c r="A14" s="146" t="str">
        <x:v>2023-24 file</x:v>
      </x:c>
      <x:c r="B14" s="146" t="str">
        <x:v>https://www.education.nh.gov/sites/g/files/ehbemt326/files/inline-documents/sonh/disagdata2024.xlsx</x:v>
      </x:c>
    </x:row>
    <x:row r="15" ht="40" customHeight="1">
      <x:c r="A15" s="146" t="str">
        <x:v>Team credit</x:v>
      </x:c>
      <x:c r="B15" s="146" t="str">
        <x:v>Collaborative QSO 705 City Year NH capstone. Original deck lists Laeticia, Niloy, Zin, Goutham, and Dweejesh. Md Mukidur Rahman also contributed across all project phases but was omitted from that title slide.</x:v>
      </x:c>
    </x:row>
    <x:row r="16" ht="40" customHeight="1">
      <x:c r="A16" s="146" t="str">
        <x:v>Interpretation</x:v>
      </x:c>
      <x:c r="B16" s="146" t="str">
        <x:v>Results are descriptive and do not establish causality, program impact, school quality, teacher effectiveness, or student potential.</x:v>
      </x:c>
    </x:row>
    <x:row r="18">
      <x:c r="A18" s="143" t="str">
        <x:v>Portfolio quality improvement: the original 48-slide deck mixed annual and multi-year totals, used several images without machine-readable chart data, and ended without a consolidated conclusion. This version narrows the analysis to auditable public assessment records, corrects attribution, preserves suppression, and links each recommendation to evidence and an evaluation guardrail.</x:v>
      </x:c>
      <x:c r="B18" s="143"/>
      <x:c r="C18" s="143"/>
      <x:c r="D18" s="143"/>
      <x:c r="E18" s="143"/>
      <x:c r="F18" s="143"/>
      <x:c r="G18" s="143"/>
      <x:c r="H18" s="143"/>
    </x:row>
    <x:row r="19">
      <x:c r="A19" s="143"/>
      <x:c r="B19" s="143"/>
      <x:c r="C19" s="143"/>
      <x:c r="D19" s="143"/>
      <x:c r="E19" s="143"/>
      <x:c r="F19" s="143"/>
      <x:c r="G19" s="143"/>
      <x:c r="H19" s="143"/>
    </x:row>
    <x:row r="20">
      <x:c r="A20" s="143"/>
      <x:c r="B20" s="143"/>
      <x:c r="C20" s="143"/>
      <x:c r="D20" s="143"/>
      <x:c r="E20" s="143"/>
      <x:c r="F20" s="143"/>
      <x:c r="G20" s="143"/>
      <x:c r="H20" s="143"/>
    </x:row>
    <x:row r="21">
      <x:c r="A21" s="143"/>
      <x:c r="B21" s="143"/>
      <x:c r="C21" s="143"/>
      <x:c r="D21" s="143"/>
      <x:c r="E21" s="143"/>
      <x:c r="F21" s="143"/>
      <x:c r="G21" s="143"/>
      <x:c r="H21" s="143"/>
    </x:row>
  </x:sheetData>
  <x:mergeCells>
    <x:mergeCell ref="A1:H2"/>
    <x:mergeCell ref="A3:H3"/>
    <x:mergeCell ref="A18:H21"/>
  </x:mergeCells>
  <x:pageMargins left="0.7" right="0.7" top="0.75" bottom="0.75" header="0.3" footer="0.3"/>
</x:worksheet>
</file>